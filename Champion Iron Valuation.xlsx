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2B558C6B-9863-49B6-8A76-CD368F1256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istoricals" sheetId="1" r:id="rId1"/>
    <sheet name="WCC" sheetId="2" r:id="rId2"/>
    <sheet name="WACC" sheetId="3" r:id="rId3"/>
    <sheet name="Beta" sheetId="4" r:id="rId4"/>
    <sheet name="Market Return" sheetId="5" r:id="rId5"/>
    <sheet name="Growth" sheetId="6" r:id="rId6"/>
    <sheet name="PPE Schedule" sheetId="7" r:id="rId7"/>
    <sheet name="Intangible" sheetId="8" r:id="rId8"/>
    <sheet name="Financing" sheetId="9" r:id="rId9"/>
    <sheet name="Final Income Statement" sheetId="10" r:id="rId10"/>
    <sheet name="DCF" sheetId="11" r:id="rId11"/>
  </sheets>
  <calcPr calcId="191029"/>
</workbook>
</file>

<file path=xl/calcChain.xml><?xml version="1.0" encoding="utf-8"?>
<calcChain xmlns="http://schemas.openxmlformats.org/spreadsheetml/2006/main">
  <c r="I16" i="3" l="1"/>
  <c r="I14" i="3"/>
  <c r="I12" i="3"/>
  <c r="I13" i="3"/>
  <c r="I11" i="3"/>
  <c r="I9" i="3"/>
  <c r="I10" i="3"/>
  <c r="I8" i="3"/>
  <c r="I7" i="3"/>
  <c r="I6" i="3"/>
  <c r="H44" i="1"/>
  <c r="G44" i="1"/>
  <c r="G57" i="1" s="1"/>
  <c r="F44" i="1"/>
  <c r="F57" i="1" s="1"/>
  <c r="F66" i="1" s="1"/>
  <c r="E44" i="1"/>
  <c r="D44" i="1"/>
  <c r="D57" i="1" s="1"/>
  <c r="K11" i="8"/>
  <c r="L11" i="8"/>
  <c r="M11" i="8"/>
  <c r="N11" i="8"/>
  <c r="O11" i="8"/>
  <c r="K11" i="7"/>
  <c r="L11" i="7"/>
  <c r="M11" i="7"/>
  <c r="N11" i="7"/>
  <c r="O11" i="7"/>
  <c r="K17" i="1"/>
  <c r="K11" i="1"/>
  <c r="K5" i="1"/>
  <c r="D26" i="11"/>
  <c r="D23" i="11"/>
  <c r="F14" i="11"/>
  <c r="G14" i="11" s="1"/>
  <c r="H14" i="11" s="1"/>
  <c r="I14" i="11" s="1"/>
  <c r="E4" i="11"/>
  <c r="F4" i="11" s="1"/>
  <c r="G4" i="11" s="1"/>
  <c r="H4" i="11" s="1"/>
  <c r="I4" i="11" s="1"/>
  <c r="L35" i="10"/>
  <c r="M35" i="10" s="1"/>
  <c r="N35" i="10" s="1"/>
  <c r="O35" i="10" s="1"/>
  <c r="B25" i="10"/>
  <c r="J20" i="10"/>
  <c r="K20" i="10" s="1"/>
  <c r="L20" i="10" s="1"/>
  <c r="M20" i="10" s="1"/>
  <c r="N20" i="10" s="1"/>
  <c r="O20" i="10" s="1"/>
  <c r="I20" i="10"/>
  <c r="H20" i="10"/>
  <c r="G20" i="10"/>
  <c r="F20" i="10"/>
  <c r="E20" i="10"/>
  <c r="D20" i="10"/>
  <c r="J17" i="10"/>
  <c r="I17" i="10"/>
  <c r="H17" i="10"/>
  <c r="G17" i="10"/>
  <c r="F17" i="10"/>
  <c r="E17" i="10"/>
  <c r="D17" i="10"/>
  <c r="O15" i="10"/>
  <c r="N15" i="10"/>
  <c r="M15" i="10"/>
  <c r="L15" i="10"/>
  <c r="J15" i="10"/>
  <c r="I15" i="10"/>
  <c r="H15" i="10"/>
  <c r="G15" i="10"/>
  <c r="F15" i="10"/>
  <c r="E15" i="10"/>
  <c r="D15" i="10"/>
  <c r="M14" i="10"/>
  <c r="N14" i="10" s="1"/>
  <c r="O14" i="10" s="1"/>
  <c r="L14" i="10"/>
  <c r="J14" i="10"/>
  <c r="I14" i="10"/>
  <c r="H14" i="10"/>
  <c r="G14" i="10"/>
  <c r="F14" i="10"/>
  <c r="E14" i="10"/>
  <c r="D14" i="10"/>
  <c r="J13" i="10"/>
  <c r="I13" i="10"/>
  <c r="H13" i="10"/>
  <c r="G13" i="10"/>
  <c r="F13" i="10"/>
  <c r="E13" i="10"/>
  <c r="D13" i="10"/>
  <c r="J11" i="10"/>
  <c r="I11" i="10"/>
  <c r="H11" i="10"/>
  <c r="G11" i="10"/>
  <c r="F11" i="10"/>
  <c r="E11" i="10"/>
  <c r="D11" i="10"/>
  <c r="J9" i="10"/>
  <c r="I9" i="10"/>
  <c r="H9" i="10"/>
  <c r="G9" i="10"/>
  <c r="F9" i="10"/>
  <c r="E9" i="10"/>
  <c r="D9" i="10"/>
  <c r="R7" i="10"/>
  <c r="R8" i="10" s="1"/>
  <c r="R9" i="10" s="1"/>
  <c r="R10" i="10" s="1"/>
  <c r="R11" i="10" s="1"/>
  <c r="R12" i="10" s="1"/>
  <c r="J7" i="10"/>
  <c r="I7" i="10"/>
  <c r="H7" i="10"/>
  <c r="G7" i="10"/>
  <c r="F7" i="10"/>
  <c r="E7" i="10"/>
  <c r="D7" i="10"/>
  <c r="R6" i="10"/>
  <c r="J6" i="10"/>
  <c r="J24" i="10" s="1"/>
  <c r="I6" i="10"/>
  <c r="I24" i="10" s="1"/>
  <c r="H6" i="10"/>
  <c r="H24" i="10" s="1"/>
  <c r="G6" i="10"/>
  <c r="G24" i="10" s="1"/>
  <c r="F6" i="10"/>
  <c r="F24" i="10" s="1"/>
  <c r="E6" i="10"/>
  <c r="E24" i="10" s="1"/>
  <c r="D6" i="10"/>
  <c r="T5" i="10" s="1" a="1"/>
  <c r="F4" i="10"/>
  <c r="G4" i="10" s="1"/>
  <c r="E4" i="10"/>
  <c r="L27" i="9"/>
  <c r="J27" i="9"/>
  <c r="I27" i="9"/>
  <c r="H27" i="9"/>
  <c r="G27" i="9"/>
  <c r="M27" i="9" s="1"/>
  <c r="F27" i="9"/>
  <c r="E27" i="9"/>
  <c r="D27" i="9"/>
  <c r="J23" i="9"/>
  <c r="I23" i="9"/>
  <c r="H23" i="9"/>
  <c r="H21" i="9" s="1"/>
  <c r="H26" i="9" s="1"/>
  <c r="G23" i="9"/>
  <c r="G21" i="9" s="1"/>
  <c r="G26" i="9" s="1"/>
  <c r="F23" i="9"/>
  <c r="E23" i="9"/>
  <c r="D23" i="9"/>
  <c r="D21" i="9" s="1"/>
  <c r="D26" i="9" s="1"/>
  <c r="J21" i="9"/>
  <c r="J26" i="9" s="1"/>
  <c r="E21" i="9"/>
  <c r="E26" i="9" s="1"/>
  <c r="J20" i="9"/>
  <c r="I20" i="9"/>
  <c r="H20" i="9"/>
  <c r="G20" i="9"/>
  <c r="F20" i="9"/>
  <c r="F21" i="9" s="1"/>
  <c r="F26" i="9" s="1"/>
  <c r="E20" i="9"/>
  <c r="D20" i="9"/>
  <c r="I13" i="9"/>
  <c r="H13" i="9"/>
  <c r="G13" i="9"/>
  <c r="D13" i="9"/>
  <c r="J11" i="9"/>
  <c r="J13" i="9" s="1"/>
  <c r="I11" i="9"/>
  <c r="H11" i="9"/>
  <c r="G11" i="9"/>
  <c r="F11" i="9"/>
  <c r="F13" i="9" s="1"/>
  <c r="E11" i="9"/>
  <c r="E13" i="9" s="1"/>
  <c r="D11" i="9"/>
  <c r="F10" i="9"/>
  <c r="E10" i="9"/>
  <c r="D10" i="9"/>
  <c r="C5" i="9"/>
  <c r="D35" i="8"/>
  <c r="E33" i="8" s="1"/>
  <c r="M21" i="8"/>
  <c r="N21" i="8" s="1"/>
  <c r="O21" i="8" s="1"/>
  <c r="L21" i="8"/>
  <c r="K21" i="8"/>
  <c r="F12" i="8"/>
  <c r="J8" i="8"/>
  <c r="J6" i="8" s="1"/>
  <c r="I8" i="8"/>
  <c r="H8" i="8"/>
  <c r="I5" i="8" s="1"/>
  <c r="I6" i="8" s="1"/>
  <c r="G8" i="8"/>
  <c r="F8" i="8"/>
  <c r="E8" i="8"/>
  <c r="D8" i="8"/>
  <c r="E5" i="8" s="1"/>
  <c r="E6" i="8" s="1"/>
  <c r="K5" i="8"/>
  <c r="J5" i="8"/>
  <c r="G5" i="8"/>
  <c r="F5" i="8"/>
  <c r="F6" i="8" s="1"/>
  <c r="F11" i="8" s="1"/>
  <c r="F4" i="8"/>
  <c r="G4" i="8" s="1"/>
  <c r="H4" i="8" s="1"/>
  <c r="I4" i="8" s="1"/>
  <c r="J4" i="8" s="1"/>
  <c r="K4" i="8" s="1"/>
  <c r="L4" i="8" s="1"/>
  <c r="M4" i="8" s="1"/>
  <c r="N4" i="8" s="1"/>
  <c r="O4" i="8" s="1"/>
  <c r="E4" i="8"/>
  <c r="D42" i="7"/>
  <c r="E39" i="7" s="1"/>
  <c r="F39" i="7" s="1"/>
  <c r="E40" i="7"/>
  <c r="F40" i="7" s="1"/>
  <c r="F38" i="7"/>
  <c r="E38" i="7"/>
  <c r="E36" i="7"/>
  <c r="F36" i="7" s="1"/>
  <c r="F34" i="7"/>
  <c r="E34" i="7"/>
  <c r="E32" i="7"/>
  <c r="N20" i="7"/>
  <c r="O20" i="7" s="1"/>
  <c r="M20" i="7"/>
  <c r="L20" i="7"/>
  <c r="K20" i="7"/>
  <c r="J8" i="7"/>
  <c r="I8" i="7"/>
  <c r="J5" i="7" s="1"/>
  <c r="J6" i="7" s="1"/>
  <c r="J12" i="7" s="1"/>
  <c r="H8" i="7"/>
  <c r="H6" i="7" s="1"/>
  <c r="G8" i="7"/>
  <c r="F8" i="7"/>
  <c r="E8" i="7"/>
  <c r="D8" i="7"/>
  <c r="E5" i="7" s="1"/>
  <c r="K5" i="7"/>
  <c r="H5" i="7"/>
  <c r="G5" i="7"/>
  <c r="G6" i="7" s="1"/>
  <c r="G11" i="7" s="1"/>
  <c r="E4" i="7"/>
  <c r="F4" i="7" s="1"/>
  <c r="G4" i="7" s="1"/>
  <c r="H4" i="7" s="1"/>
  <c r="I4" i="7" s="1"/>
  <c r="J4" i="7" s="1"/>
  <c r="K4" i="7" s="1"/>
  <c r="L4" i="7" s="1"/>
  <c r="M4" i="7" s="1"/>
  <c r="N4" i="7" s="1"/>
  <c r="O4" i="7" s="1"/>
  <c r="J38" i="6"/>
  <c r="D7" i="11" s="1"/>
  <c r="E7" i="11" s="1"/>
  <c r="F7" i="11" s="1"/>
  <c r="G7" i="11" s="1"/>
  <c r="H7" i="11" s="1"/>
  <c r="I7" i="11" s="1"/>
  <c r="I38" i="6"/>
  <c r="H38" i="6"/>
  <c r="G38" i="6"/>
  <c r="F38" i="6"/>
  <c r="E38" i="6"/>
  <c r="J34" i="6"/>
  <c r="I34" i="6"/>
  <c r="H34" i="6"/>
  <c r="G34" i="6"/>
  <c r="F34" i="6"/>
  <c r="E34" i="6"/>
  <c r="D34" i="6"/>
  <c r="B30" i="6"/>
  <c r="B37" i="6" s="1"/>
  <c r="J26" i="6"/>
  <c r="I26" i="6"/>
  <c r="H26" i="6"/>
  <c r="G26" i="6"/>
  <c r="F26" i="6"/>
  <c r="E26" i="6"/>
  <c r="D26" i="6"/>
  <c r="B26" i="6"/>
  <c r="J25" i="6"/>
  <c r="I25" i="6"/>
  <c r="H25" i="6"/>
  <c r="G25" i="6"/>
  <c r="F25" i="6"/>
  <c r="E25" i="6"/>
  <c r="D25" i="6"/>
  <c r="B25" i="6"/>
  <c r="J24" i="6"/>
  <c r="I24" i="6"/>
  <c r="H24" i="6"/>
  <c r="G24" i="6"/>
  <c r="F24" i="6"/>
  <c r="F27" i="6" s="1"/>
  <c r="E24" i="6"/>
  <c r="D24" i="6"/>
  <c r="B24" i="6"/>
  <c r="J23" i="6"/>
  <c r="I23" i="6"/>
  <c r="H23" i="6"/>
  <c r="G23" i="6"/>
  <c r="G27" i="6" s="1"/>
  <c r="F23" i="6"/>
  <c r="E23" i="6"/>
  <c r="D23" i="6"/>
  <c r="B23" i="6"/>
  <c r="J22" i="6"/>
  <c r="I22" i="6"/>
  <c r="H22" i="6"/>
  <c r="G22" i="6"/>
  <c r="F22" i="6"/>
  <c r="E22" i="6"/>
  <c r="E27" i="6" s="1"/>
  <c r="E29" i="6" s="1"/>
  <c r="D22" i="6"/>
  <c r="B22" i="6"/>
  <c r="J21" i="6"/>
  <c r="I21" i="6"/>
  <c r="I27" i="6" s="1"/>
  <c r="H21" i="6"/>
  <c r="G21" i="6"/>
  <c r="F21" i="6"/>
  <c r="E21" i="6"/>
  <c r="D21" i="6"/>
  <c r="B21" i="6"/>
  <c r="J20" i="6"/>
  <c r="J27" i="6" s="1"/>
  <c r="I20" i="6"/>
  <c r="H20" i="6"/>
  <c r="G20" i="6"/>
  <c r="F20" i="6"/>
  <c r="E20" i="6"/>
  <c r="D20" i="6"/>
  <c r="B20" i="6"/>
  <c r="G16" i="6"/>
  <c r="J15" i="6"/>
  <c r="I15" i="6"/>
  <c r="H15" i="6"/>
  <c r="G15" i="6"/>
  <c r="F15" i="6"/>
  <c r="E15" i="6"/>
  <c r="D15" i="6"/>
  <c r="B15" i="6"/>
  <c r="J14" i="6"/>
  <c r="I14" i="6"/>
  <c r="H14" i="6"/>
  <c r="G14" i="6"/>
  <c r="F14" i="6"/>
  <c r="E14" i="6"/>
  <c r="D14" i="6"/>
  <c r="B14" i="6"/>
  <c r="J13" i="6"/>
  <c r="I13" i="6"/>
  <c r="H13" i="6"/>
  <c r="H16" i="6" s="1"/>
  <c r="H18" i="6" s="1"/>
  <c r="G13" i="6"/>
  <c r="F13" i="6"/>
  <c r="E13" i="6"/>
  <c r="D13" i="6"/>
  <c r="B13" i="6"/>
  <c r="J12" i="6"/>
  <c r="J16" i="6" s="1"/>
  <c r="I12" i="6"/>
  <c r="I16" i="6" s="1"/>
  <c r="H12" i="6"/>
  <c r="G12" i="6"/>
  <c r="F12" i="6"/>
  <c r="E12" i="6"/>
  <c r="E16" i="6" s="1"/>
  <c r="D12" i="6"/>
  <c r="D16" i="6" s="1"/>
  <c r="B12" i="6"/>
  <c r="J10" i="6"/>
  <c r="F10" i="6"/>
  <c r="D10" i="6"/>
  <c r="J9" i="6"/>
  <c r="I9" i="6"/>
  <c r="H9" i="6"/>
  <c r="G9" i="6"/>
  <c r="F9" i="6"/>
  <c r="E9" i="6"/>
  <c r="D9" i="6"/>
  <c r="B9" i="6"/>
  <c r="J8" i="6"/>
  <c r="I8" i="6"/>
  <c r="H8" i="6"/>
  <c r="G8" i="6"/>
  <c r="F8" i="6"/>
  <c r="E8" i="6"/>
  <c r="D8" i="6"/>
  <c r="B8" i="6"/>
  <c r="J7" i="6"/>
  <c r="I7" i="6"/>
  <c r="H7" i="6"/>
  <c r="G7" i="6"/>
  <c r="F7" i="6"/>
  <c r="E7" i="6"/>
  <c r="D7" i="6"/>
  <c r="B7" i="6"/>
  <c r="J6" i="6"/>
  <c r="I6" i="6"/>
  <c r="I10" i="6" s="1"/>
  <c r="I18" i="6" s="1"/>
  <c r="I35" i="6" s="1"/>
  <c r="H6" i="6"/>
  <c r="H10" i="6" s="1"/>
  <c r="G6" i="6"/>
  <c r="G10" i="6" s="1"/>
  <c r="G18" i="6" s="1"/>
  <c r="F6" i="6"/>
  <c r="E6" i="6"/>
  <c r="E10" i="6" s="1"/>
  <c r="E18" i="6" s="1"/>
  <c r="D6" i="6"/>
  <c r="B6" i="6"/>
  <c r="E4" i="6"/>
  <c r="F4" i="6" s="1"/>
  <c r="G4" i="6" s="1"/>
  <c r="H4" i="6" s="1"/>
  <c r="I4" i="6" s="1"/>
  <c r="J4" i="6" s="1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G6" i="5" s="1"/>
  <c r="G8" i="5" s="1"/>
  <c r="K27" i="3" s="1"/>
  <c r="K54" i="3" s="1"/>
  <c r="D8" i="5"/>
  <c r="H67" i="4"/>
  <c r="D67" i="4"/>
  <c r="H66" i="4"/>
  <c r="D66" i="4"/>
  <c r="H65" i="4"/>
  <c r="D65" i="4"/>
  <c r="H64" i="4"/>
  <c r="D64" i="4"/>
  <c r="H63" i="4"/>
  <c r="D63" i="4"/>
  <c r="H62" i="4"/>
  <c r="D62" i="4"/>
  <c r="H61" i="4"/>
  <c r="D61" i="4"/>
  <c r="H60" i="4"/>
  <c r="D60" i="4"/>
  <c r="H59" i="4"/>
  <c r="D59" i="4"/>
  <c r="H58" i="4"/>
  <c r="D58" i="4"/>
  <c r="H57" i="4"/>
  <c r="D57" i="4"/>
  <c r="H56" i="4"/>
  <c r="D56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H45" i="4"/>
  <c r="D45" i="4"/>
  <c r="H44" i="4"/>
  <c r="D44" i="4"/>
  <c r="H43" i="4"/>
  <c r="D43" i="4"/>
  <c r="H42" i="4"/>
  <c r="D42" i="4"/>
  <c r="H41" i="4"/>
  <c r="D41" i="4"/>
  <c r="H40" i="4"/>
  <c r="D40" i="4"/>
  <c r="H39" i="4"/>
  <c r="D39" i="4"/>
  <c r="H38" i="4"/>
  <c r="D38" i="4"/>
  <c r="H37" i="4"/>
  <c r="D37" i="4"/>
  <c r="H36" i="4"/>
  <c r="D36" i="4"/>
  <c r="H35" i="4"/>
  <c r="D35" i="4"/>
  <c r="H34" i="4"/>
  <c r="D34" i="4"/>
  <c r="H33" i="4"/>
  <c r="D33" i="4"/>
  <c r="H32" i="4"/>
  <c r="D32" i="4"/>
  <c r="H31" i="4"/>
  <c r="D31" i="4"/>
  <c r="H30" i="4"/>
  <c r="D30" i="4"/>
  <c r="H29" i="4"/>
  <c r="D29" i="4"/>
  <c r="H28" i="4"/>
  <c r="D28" i="4"/>
  <c r="H27" i="4"/>
  <c r="D27" i="4"/>
  <c r="H26" i="4"/>
  <c r="D26" i="4"/>
  <c r="H25" i="4"/>
  <c r="D25" i="4"/>
  <c r="H24" i="4"/>
  <c r="D24" i="4"/>
  <c r="H23" i="4"/>
  <c r="D23" i="4"/>
  <c r="H22" i="4"/>
  <c r="D22" i="4"/>
  <c r="H21" i="4"/>
  <c r="D21" i="4"/>
  <c r="H20" i="4"/>
  <c r="D20" i="4"/>
  <c r="H19" i="4"/>
  <c r="D19" i="4"/>
  <c r="H18" i="4"/>
  <c r="D18" i="4"/>
  <c r="H17" i="4"/>
  <c r="D17" i="4"/>
  <c r="H16" i="4"/>
  <c r="D16" i="4"/>
  <c r="H15" i="4"/>
  <c r="D15" i="4"/>
  <c r="H14" i="4"/>
  <c r="D14" i="4"/>
  <c r="H13" i="4"/>
  <c r="D13" i="4"/>
  <c r="H12" i="4"/>
  <c r="D12" i="4"/>
  <c r="H11" i="4"/>
  <c r="D11" i="4"/>
  <c r="H10" i="4"/>
  <c r="D10" i="4"/>
  <c r="H9" i="4"/>
  <c r="D9" i="4"/>
  <c r="H8" i="4"/>
  <c r="K6" i="4" s="1"/>
  <c r="K12" i="4" s="1"/>
  <c r="K55" i="3" s="1"/>
  <c r="D8" i="4"/>
  <c r="K63" i="3"/>
  <c r="K62" i="3"/>
  <c r="K53" i="3"/>
  <c r="E53" i="3"/>
  <c r="K44" i="3"/>
  <c r="E38" i="3"/>
  <c r="E36" i="3"/>
  <c r="E35" i="3"/>
  <c r="C6" i="9" s="1"/>
  <c r="K34" i="3"/>
  <c r="C34" i="3"/>
  <c r="E25" i="3"/>
  <c r="J20" i="3"/>
  <c r="G20" i="3"/>
  <c r="J19" i="3"/>
  <c r="G19" i="3"/>
  <c r="K17" i="3"/>
  <c r="I17" i="3"/>
  <c r="H17" i="3"/>
  <c r="H16" i="3"/>
  <c r="K16" i="3" s="1"/>
  <c r="K15" i="3"/>
  <c r="I15" i="3"/>
  <c r="H15" i="3"/>
  <c r="H14" i="3"/>
  <c r="K14" i="3" s="1"/>
  <c r="H13" i="3"/>
  <c r="H19" i="3" s="1"/>
  <c r="H12" i="3"/>
  <c r="K12" i="3" s="1"/>
  <c r="H11" i="3"/>
  <c r="K11" i="3" s="1"/>
  <c r="K10" i="3"/>
  <c r="H10" i="3"/>
  <c r="K9" i="3"/>
  <c r="H9" i="3"/>
  <c r="H8" i="3"/>
  <c r="K8" i="3" s="1"/>
  <c r="K7" i="3"/>
  <c r="H7" i="3"/>
  <c r="H6" i="3"/>
  <c r="H20" i="3" s="1"/>
  <c r="I19" i="2"/>
  <c r="I18" i="2"/>
  <c r="H18" i="2"/>
  <c r="F18" i="2"/>
  <c r="F19" i="2" s="1"/>
  <c r="D18" i="2"/>
  <c r="J16" i="2"/>
  <c r="I16" i="2"/>
  <c r="H16" i="2"/>
  <c r="G16" i="2"/>
  <c r="F16" i="2"/>
  <c r="E16" i="2"/>
  <c r="D16" i="2"/>
  <c r="J15" i="2"/>
  <c r="I15" i="2"/>
  <c r="H15" i="2"/>
  <c r="G15" i="2"/>
  <c r="F15" i="2"/>
  <c r="E15" i="2"/>
  <c r="D15" i="2"/>
  <c r="C15" i="2"/>
  <c r="B15" i="2"/>
  <c r="J9" i="2"/>
  <c r="J18" i="2" s="1"/>
  <c r="J19" i="2" s="1"/>
  <c r="I9" i="2"/>
  <c r="H9" i="2"/>
  <c r="G9" i="2"/>
  <c r="G18" i="2" s="1"/>
  <c r="F9" i="2"/>
  <c r="E9" i="2"/>
  <c r="E18" i="2" s="1"/>
  <c r="E19" i="2" s="1"/>
  <c r="D9" i="2"/>
  <c r="E3" i="2"/>
  <c r="F3" i="2" s="1"/>
  <c r="G3" i="2" s="1"/>
  <c r="H3" i="2" s="1"/>
  <c r="I3" i="2" s="1"/>
  <c r="J3" i="2" s="1"/>
  <c r="J117" i="1"/>
  <c r="I117" i="1"/>
  <c r="H117" i="1"/>
  <c r="G117" i="1"/>
  <c r="F117" i="1"/>
  <c r="E117" i="1"/>
  <c r="D117" i="1"/>
  <c r="J114" i="1"/>
  <c r="I114" i="1"/>
  <c r="H114" i="1"/>
  <c r="G114" i="1"/>
  <c r="F114" i="1"/>
  <c r="E114" i="1"/>
  <c r="D114" i="1"/>
  <c r="J113" i="1"/>
  <c r="I113" i="1"/>
  <c r="H113" i="1"/>
  <c r="G113" i="1"/>
  <c r="F113" i="1"/>
  <c r="E113" i="1"/>
  <c r="D113" i="1"/>
  <c r="J110" i="1"/>
  <c r="I110" i="1"/>
  <c r="G110" i="1"/>
  <c r="J107" i="1"/>
  <c r="I107" i="1"/>
  <c r="H107" i="1"/>
  <c r="H110" i="1" s="1"/>
  <c r="G107" i="1"/>
  <c r="F107" i="1"/>
  <c r="F110" i="1" s="1"/>
  <c r="E107" i="1"/>
  <c r="D107" i="1"/>
  <c r="J95" i="1"/>
  <c r="I95" i="1"/>
  <c r="H95" i="1"/>
  <c r="G95" i="1"/>
  <c r="F95" i="1"/>
  <c r="E95" i="1"/>
  <c r="E110" i="1" s="1"/>
  <c r="D95" i="1"/>
  <c r="J84" i="1"/>
  <c r="I84" i="1"/>
  <c r="H84" i="1"/>
  <c r="G84" i="1"/>
  <c r="F84" i="1"/>
  <c r="E84" i="1"/>
  <c r="D84" i="1"/>
  <c r="D110" i="1" s="1"/>
  <c r="J65" i="1"/>
  <c r="C35" i="3" s="1"/>
  <c r="I65" i="1"/>
  <c r="H65" i="1"/>
  <c r="G65" i="1"/>
  <c r="F65" i="1"/>
  <c r="E65" i="1"/>
  <c r="D65" i="1"/>
  <c r="I57" i="1"/>
  <c r="I66" i="1" s="1"/>
  <c r="J56" i="1"/>
  <c r="J57" i="1" s="1"/>
  <c r="I56" i="1"/>
  <c r="H56" i="1"/>
  <c r="H57" i="1" s="1"/>
  <c r="H66" i="1" s="1"/>
  <c r="G56" i="1"/>
  <c r="F56" i="1"/>
  <c r="E56" i="1"/>
  <c r="E57" i="1" s="1"/>
  <c r="E66" i="1" s="1"/>
  <c r="D56" i="1"/>
  <c r="J44" i="1"/>
  <c r="I44" i="1"/>
  <c r="I38" i="1"/>
  <c r="H38" i="1"/>
  <c r="F38" i="1"/>
  <c r="D38" i="1"/>
  <c r="J37" i="1"/>
  <c r="J38" i="1" s="1"/>
  <c r="I37" i="1"/>
  <c r="H37" i="1"/>
  <c r="G37" i="1"/>
  <c r="G38" i="1" s="1"/>
  <c r="F37" i="1"/>
  <c r="E37" i="1"/>
  <c r="E38" i="1" s="1"/>
  <c r="D37" i="1"/>
  <c r="K33" i="1"/>
  <c r="J28" i="1"/>
  <c r="I28" i="1"/>
  <c r="H28" i="1"/>
  <c r="G28" i="1"/>
  <c r="F28" i="1"/>
  <c r="E28" i="1"/>
  <c r="D28" i="1"/>
  <c r="J15" i="1"/>
  <c r="J16" i="10" s="1"/>
  <c r="J11" i="1"/>
  <c r="J12" i="10" s="1"/>
  <c r="E11" i="1"/>
  <c r="E12" i="10" s="1"/>
  <c r="J9" i="1"/>
  <c r="J10" i="10" s="1"/>
  <c r="I9" i="1"/>
  <c r="I10" i="10" s="1"/>
  <c r="G9" i="1"/>
  <c r="G10" i="10" s="1"/>
  <c r="E9" i="1"/>
  <c r="E10" i="10" s="1"/>
  <c r="D9" i="1"/>
  <c r="D10" i="10" s="1"/>
  <c r="D34" i="10" s="1"/>
  <c r="J7" i="1"/>
  <c r="J8" i="10" s="1"/>
  <c r="I7" i="1"/>
  <c r="I8" i="10" s="1"/>
  <c r="H7" i="1"/>
  <c r="H8" i="10" s="1"/>
  <c r="G7" i="1"/>
  <c r="G8" i="10" s="1"/>
  <c r="F7" i="1"/>
  <c r="F8" i="10" s="1"/>
  <c r="E7" i="1"/>
  <c r="E8" i="10" s="1"/>
  <c r="D7" i="1"/>
  <c r="D8" i="10" s="1"/>
  <c r="D33" i="10" s="1"/>
  <c r="F3" i="1"/>
  <c r="G3" i="1" s="1"/>
  <c r="H3" i="1" s="1"/>
  <c r="I3" i="1" s="1"/>
  <c r="J3" i="1" s="1"/>
  <c r="E3" i="1"/>
  <c r="I19" i="3" l="1"/>
  <c r="D66" i="1"/>
  <c r="G19" i="2"/>
  <c r="H19" i="2"/>
  <c r="D18" i="6"/>
  <c r="G29" i="6"/>
  <c r="G66" i="1"/>
  <c r="K56" i="3"/>
  <c r="J63" i="3" s="1"/>
  <c r="E35" i="6"/>
  <c r="E41" i="6" s="1"/>
  <c r="H35" i="6"/>
  <c r="H41" i="6" s="1"/>
  <c r="H33" i="10"/>
  <c r="H25" i="10"/>
  <c r="C36" i="3"/>
  <c r="D35" i="3" s="1"/>
  <c r="D24" i="11"/>
  <c r="I29" i="6"/>
  <c r="G6" i="8"/>
  <c r="H5" i="8"/>
  <c r="H6" i="8" s="1"/>
  <c r="E33" i="10"/>
  <c r="E25" i="10"/>
  <c r="F9" i="1"/>
  <c r="G11" i="1"/>
  <c r="J30" i="6"/>
  <c r="F32" i="7"/>
  <c r="I33" i="10"/>
  <c r="I25" i="10"/>
  <c r="E15" i="1"/>
  <c r="F33" i="10"/>
  <c r="F25" i="10"/>
  <c r="G34" i="10"/>
  <c r="K6" i="3"/>
  <c r="I41" i="6"/>
  <c r="E11" i="8"/>
  <c r="E12" i="8"/>
  <c r="I34" i="10"/>
  <c r="G33" i="10"/>
  <c r="G25" i="10"/>
  <c r="H9" i="1"/>
  <c r="I11" i="1"/>
  <c r="J17" i="1"/>
  <c r="I20" i="3"/>
  <c r="K45" i="3"/>
  <c r="H27" i="6"/>
  <c r="H29" i="6" s="1"/>
  <c r="I5" i="7"/>
  <c r="I6" i="7" s="1"/>
  <c r="E6" i="7"/>
  <c r="F5" i="7"/>
  <c r="F6" i="7" s="1"/>
  <c r="J11" i="7"/>
  <c r="F33" i="8"/>
  <c r="C8" i="9"/>
  <c r="J66" i="1"/>
  <c r="F16" i="6"/>
  <c r="F18" i="6" s="1"/>
  <c r="G12" i="7"/>
  <c r="H4" i="10"/>
  <c r="G10" i="9"/>
  <c r="R13" i="10"/>
  <c r="J35" i="10"/>
  <c r="T9" i="10"/>
  <c r="U9" i="10" s="1"/>
  <c r="T8" i="10"/>
  <c r="T7" i="10"/>
  <c r="T6" i="10"/>
  <c r="T5" i="10"/>
  <c r="T11" i="10"/>
  <c r="T10" i="10"/>
  <c r="U10" i="10" s="1"/>
  <c r="L26" i="9"/>
  <c r="K26" i="9"/>
  <c r="J33" i="10"/>
  <c r="J25" i="10"/>
  <c r="D11" i="1"/>
  <c r="D34" i="3"/>
  <c r="E30" i="6"/>
  <c r="H12" i="7"/>
  <c r="H11" i="7"/>
  <c r="I11" i="8"/>
  <c r="I12" i="8"/>
  <c r="K13" i="3"/>
  <c r="E26" i="3"/>
  <c r="E27" i="3" s="1"/>
  <c r="J44" i="3" s="1"/>
  <c r="D38" i="3"/>
  <c r="J18" i="6"/>
  <c r="J35" i="6" s="1"/>
  <c r="J41" i="6" s="1"/>
  <c r="D27" i="6"/>
  <c r="D29" i="6" s="1"/>
  <c r="I21" i="9"/>
  <c r="I26" i="9" s="1"/>
  <c r="O26" i="9" s="1"/>
  <c r="D6" i="11"/>
  <c r="J34" i="10"/>
  <c r="J26" i="10"/>
  <c r="E34" i="10"/>
  <c r="E26" i="10"/>
  <c r="J11" i="8"/>
  <c r="J12" i="8"/>
  <c r="E33" i="7"/>
  <c r="F33" i="7" s="1"/>
  <c r="E37" i="7"/>
  <c r="F37" i="7" s="1"/>
  <c r="E41" i="7"/>
  <c r="F41" i="7" s="1"/>
  <c r="N27" i="9"/>
  <c r="E34" i="8"/>
  <c r="F34" i="8" s="1"/>
  <c r="O27" i="9"/>
  <c r="E35" i="7"/>
  <c r="F35" i="7" s="1"/>
  <c r="K27" i="9"/>
  <c r="F35" i="6" l="1"/>
  <c r="F41" i="6" s="1"/>
  <c r="G35" i="6"/>
  <c r="G41" i="6" s="1"/>
  <c r="F29" i="6"/>
  <c r="I11" i="7"/>
  <c r="I12" i="7"/>
  <c r="F10" i="10"/>
  <c r="F11" i="1"/>
  <c r="K33" i="10"/>
  <c r="L33" i="10" s="1"/>
  <c r="M33" i="10" s="1"/>
  <c r="N33" i="10" s="1"/>
  <c r="O33" i="10" s="1"/>
  <c r="T12" i="10"/>
  <c r="M13" i="9"/>
  <c r="K13" i="9"/>
  <c r="O13" i="9"/>
  <c r="N13" i="9"/>
  <c r="L13" i="9"/>
  <c r="F35" i="8"/>
  <c r="C19" i="8" s="1"/>
  <c r="E42" i="7"/>
  <c r="H11" i="8"/>
  <c r="H12" i="8"/>
  <c r="U7" i="10"/>
  <c r="E35" i="8"/>
  <c r="J18" i="10"/>
  <c r="J20" i="1"/>
  <c r="J21" i="10" s="1"/>
  <c r="F42" i="7"/>
  <c r="C18" i="7" s="1"/>
  <c r="G12" i="8"/>
  <c r="G11" i="8"/>
  <c r="J29" i="6"/>
  <c r="J32" i="6" s="1"/>
  <c r="T13" i="10"/>
  <c r="R14" i="10"/>
  <c r="U11" i="10"/>
  <c r="M26" i="9"/>
  <c r="U8" i="10"/>
  <c r="I12" i="10"/>
  <c r="I30" i="6"/>
  <c r="I15" i="1"/>
  <c r="U6" i="10"/>
  <c r="N26" i="9"/>
  <c r="F11" i="7"/>
  <c r="F12" i="7"/>
  <c r="H10" i="10"/>
  <c r="H11" i="1"/>
  <c r="E16" i="10"/>
  <c r="E17" i="1"/>
  <c r="J37" i="6"/>
  <c r="J39" i="6" s="1"/>
  <c r="D8" i="11" s="1"/>
  <c r="D12" i="10"/>
  <c r="E27" i="10" s="1"/>
  <c r="D30" i="6"/>
  <c r="D15" i="1"/>
  <c r="K19" i="3"/>
  <c r="K20" i="3"/>
  <c r="K33" i="3" s="1"/>
  <c r="I4" i="10"/>
  <c r="H10" i="9"/>
  <c r="E32" i="6"/>
  <c r="E37" i="6"/>
  <c r="E39" i="6" s="1"/>
  <c r="E42" i="6" s="1"/>
  <c r="E54" i="3"/>
  <c r="E55" i="3" s="1"/>
  <c r="J62" i="3" s="1"/>
  <c r="J64" i="3" s="1"/>
  <c r="K35" i="3"/>
  <c r="D36" i="3"/>
  <c r="E12" i="7"/>
  <c r="K12" i="7" s="1"/>
  <c r="E11" i="7"/>
  <c r="G12" i="10"/>
  <c r="G30" i="6"/>
  <c r="G15" i="1"/>
  <c r="E46" i="6" l="1"/>
  <c r="H34" i="10"/>
  <c r="K34" i="10" s="1"/>
  <c r="L34" i="10" s="1"/>
  <c r="M34" i="10" s="1"/>
  <c r="N34" i="10" s="1"/>
  <c r="O34" i="10" s="1"/>
  <c r="H26" i="10"/>
  <c r="I26" i="10"/>
  <c r="J42" i="6"/>
  <c r="J46" i="6" s="1"/>
  <c r="M21" i="7"/>
  <c r="O21" i="7"/>
  <c r="L21" i="7"/>
  <c r="N21" i="7"/>
  <c r="K21" i="7"/>
  <c r="D32" i="6"/>
  <c r="D37" i="6"/>
  <c r="D39" i="6" s="1"/>
  <c r="U12" i="10"/>
  <c r="I27" i="10"/>
  <c r="J27" i="10"/>
  <c r="K36" i="3"/>
  <c r="K26" i="3" s="1"/>
  <c r="K28" i="3" s="1"/>
  <c r="J45" i="3" s="1"/>
  <c r="J46" i="3" s="1"/>
  <c r="C34" i="11" s="1"/>
  <c r="M22" i="8"/>
  <c r="K22" i="8"/>
  <c r="O22" i="8"/>
  <c r="L22" i="8"/>
  <c r="N22" i="8"/>
  <c r="G42" i="6"/>
  <c r="G46" i="6" s="1"/>
  <c r="L12" i="7"/>
  <c r="G16" i="10"/>
  <c r="G17" i="1"/>
  <c r="J4" i="10"/>
  <c r="I10" i="9"/>
  <c r="K12" i="8"/>
  <c r="I16" i="10"/>
  <c r="I17" i="1"/>
  <c r="R15" i="10"/>
  <c r="T14" i="10"/>
  <c r="U14" i="10" s="1"/>
  <c r="F12" i="10"/>
  <c r="F27" i="10" s="1"/>
  <c r="F15" i="1"/>
  <c r="F30" i="6"/>
  <c r="E18" i="10"/>
  <c r="E20" i="1"/>
  <c r="E21" i="10" s="1"/>
  <c r="G37" i="6"/>
  <c r="G39" i="6" s="1"/>
  <c r="G32" i="6"/>
  <c r="E35" i="10"/>
  <c r="G27" i="10"/>
  <c r="D16" i="10"/>
  <c r="D35" i="10" s="1"/>
  <c r="D17" i="1"/>
  <c r="H12" i="10"/>
  <c r="H27" i="10" s="1"/>
  <c r="H30" i="6"/>
  <c r="H15" i="1"/>
  <c r="I37" i="6"/>
  <c r="I39" i="6" s="1"/>
  <c r="I42" i="6" s="1"/>
  <c r="I32" i="6"/>
  <c r="U13" i="10"/>
  <c r="F26" i="10"/>
  <c r="F34" i="10"/>
  <c r="G26" i="10"/>
  <c r="I15" i="11" l="1"/>
  <c r="H15" i="11"/>
  <c r="G15" i="11"/>
  <c r="F15" i="11"/>
  <c r="E15" i="11"/>
  <c r="F16" i="10"/>
  <c r="F17" i="1"/>
  <c r="I46" i="6"/>
  <c r="F37" i="6"/>
  <c r="F39" i="6" s="1"/>
  <c r="F42" i="6" s="1"/>
  <c r="F32" i="6"/>
  <c r="T15" i="10"/>
  <c r="U15" i="10" s="1"/>
  <c r="R16" i="10"/>
  <c r="T16" i="10" s="1"/>
  <c r="G28" i="10"/>
  <c r="G35" i="10"/>
  <c r="E28" i="10"/>
  <c r="J10" i="9"/>
  <c r="K4" i="10"/>
  <c r="H16" i="10"/>
  <c r="H17" i="1"/>
  <c r="G18" i="10"/>
  <c r="G20" i="1"/>
  <c r="G21" i="10" s="1"/>
  <c r="I18" i="10"/>
  <c r="I20" i="1"/>
  <c r="I21" i="10" s="1"/>
  <c r="H37" i="6"/>
  <c r="H39" i="6" s="1"/>
  <c r="H42" i="6" s="1"/>
  <c r="H32" i="6"/>
  <c r="D18" i="10"/>
  <c r="D20" i="1"/>
  <c r="D21" i="10" s="1"/>
  <c r="E29" i="10"/>
  <c r="I28" i="10"/>
  <c r="I35" i="10"/>
  <c r="J28" i="10"/>
  <c r="M12" i="7"/>
  <c r="L12" i="8"/>
  <c r="F46" i="6" l="1"/>
  <c r="J43" i="6"/>
  <c r="J44" i="6"/>
  <c r="D10" i="11" s="1"/>
  <c r="M12" i="8"/>
  <c r="N12" i="7"/>
  <c r="H46" i="6"/>
  <c r="F18" i="10"/>
  <c r="F29" i="10" s="1"/>
  <c r="F20" i="1"/>
  <c r="F21" i="10" s="1"/>
  <c r="J29" i="10"/>
  <c r="H18" i="10"/>
  <c r="H29" i="10" s="1"/>
  <c r="H20" i="1"/>
  <c r="H21" i="10" s="1"/>
  <c r="F28" i="10"/>
  <c r="F35" i="10"/>
  <c r="H28" i="10"/>
  <c r="H35" i="10"/>
  <c r="U16" i="10"/>
  <c r="N12" i="8"/>
  <c r="O12" i="8" s="1"/>
  <c r="L4" i="10"/>
  <c r="K10" i="9"/>
  <c r="K6" i="10" a="1"/>
  <c r="I29" i="10" l="1"/>
  <c r="O12" i="7"/>
  <c r="E10" i="11"/>
  <c r="F10" i="11" s="1"/>
  <c r="G10" i="11" s="1"/>
  <c r="H10" i="11" s="1"/>
  <c r="D12" i="11"/>
  <c r="O6" i="10"/>
  <c r="N6" i="10"/>
  <c r="M6" i="10"/>
  <c r="L6" i="10"/>
  <c r="K6" i="10"/>
  <c r="M4" i="10"/>
  <c r="L10" i="9"/>
  <c r="G29" i="10"/>
  <c r="J48" i="6"/>
  <c r="C32" i="11" s="1"/>
  <c r="J47" i="6"/>
  <c r="M24" i="10" l="1"/>
  <c r="M10" i="10"/>
  <c r="M6" i="8"/>
  <c r="M8" i="10"/>
  <c r="M22" i="9"/>
  <c r="M6" i="7"/>
  <c r="N10" i="10"/>
  <c r="N6" i="8"/>
  <c r="N8" i="10"/>
  <c r="N24" i="10"/>
  <c r="N22" i="9"/>
  <c r="N4" i="10"/>
  <c r="M10" i="9"/>
  <c r="K8" i="10"/>
  <c r="K24" i="10"/>
  <c r="K10" i="10"/>
  <c r="K6" i="8"/>
  <c r="K22" i="9"/>
  <c r="K6" i="7"/>
  <c r="O10" i="10"/>
  <c r="O6" i="8"/>
  <c r="O27" i="8" s="1"/>
  <c r="O8" i="10"/>
  <c r="O24" i="10"/>
  <c r="O22" i="9"/>
  <c r="O6" i="7"/>
  <c r="O26" i="7" s="1"/>
  <c r="N6" i="7"/>
  <c r="L8" i="10"/>
  <c r="L24" i="10"/>
  <c r="L10" i="10"/>
  <c r="L6" i="8"/>
  <c r="L22" i="9"/>
  <c r="L6" i="7"/>
  <c r="O24" i="8" l="1"/>
  <c r="N24" i="8"/>
  <c r="M24" i="8"/>
  <c r="L24" i="8"/>
  <c r="N26" i="10"/>
  <c r="N9" i="10"/>
  <c r="O25" i="10"/>
  <c r="O7" i="10"/>
  <c r="O21" i="9" s="1"/>
  <c r="L26" i="10"/>
  <c r="L9" i="10"/>
  <c r="M25" i="10"/>
  <c r="M7" i="10"/>
  <c r="M21" i="9" s="1"/>
  <c r="N26" i="8"/>
  <c r="O26" i="8"/>
  <c r="L25" i="10"/>
  <c r="L7" i="10"/>
  <c r="L21" i="9" s="1"/>
  <c r="O25" i="7"/>
  <c r="N25" i="7"/>
  <c r="N25" i="8"/>
  <c r="M25" i="8"/>
  <c r="O25" i="8"/>
  <c r="K25" i="10"/>
  <c r="K7" i="10"/>
  <c r="K21" i="9" s="1"/>
  <c r="O24" i="7"/>
  <c r="N24" i="7"/>
  <c r="M24" i="7"/>
  <c r="N22" i="7"/>
  <c r="N27" i="7" s="1"/>
  <c r="N7" i="7" s="1"/>
  <c r="M22" i="7"/>
  <c r="M27" i="7" s="1"/>
  <c r="M7" i="7" s="1"/>
  <c r="K22" i="7"/>
  <c r="K27" i="7" s="1"/>
  <c r="K7" i="7" s="1"/>
  <c r="K8" i="7" s="1"/>
  <c r="L5" i="7" s="1"/>
  <c r="L8" i="7" s="1"/>
  <c r="M5" i="7" s="1"/>
  <c r="M8" i="7" s="1"/>
  <c r="N5" i="7" s="1"/>
  <c r="N8" i="7" s="1"/>
  <c r="O5" i="7" s="1"/>
  <c r="O22" i="7"/>
  <c r="L22" i="7"/>
  <c r="L27" i="7" s="1"/>
  <c r="L7" i="7" s="1"/>
  <c r="O23" i="8"/>
  <c r="M23" i="8"/>
  <c r="L23" i="8"/>
  <c r="L28" i="8" s="1"/>
  <c r="L7" i="8" s="1"/>
  <c r="L11" i="10" s="1"/>
  <c r="L12" i="10" s="1"/>
  <c r="K23" i="8"/>
  <c r="K28" i="8" s="1"/>
  <c r="K7" i="8" s="1"/>
  <c r="N23" i="8"/>
  <c r="N28" i="8" s="1"/>
  <c r="N7" i="8" s="1"/>
  <c r="N11" i="10" s="1"/>
  <c r="N12" i="10" s="1"/>
  <c r="K8" i="8"/>
  <c r="L5" i="8" s="1"/>
  <c r="L8" i="8" s="1"/>
  <c r="M5" i="8" s="1"/>
  <c r="M26" i="10"/>
  <c r="M9" i="10"/>
  <c r="O26" i="10"/>
  <c r="O9" i="10"/>
  <c r="O4" i="10"/>
  <c r="N10" i="9"/>
  <c r="L23" i="7"/>
  <c r="O23" i="7"/>
  <c r="N23" i="7"/>
  <c r="M23" i="7"/>
  <c r="K26" i="10"/>
  <c r="K9" i="10"/>
  <c r="N25" i="10"/>
  <c r="N7" i="10"/>
  <c r="N21" i="9" s="1"/>
  <c r="H6" i="11" l="1"/>
  <c r="H8" i="11" s="1"/>
  <c r="H12" i="11" s="1"/>
  <c r="F6" i="11"/>
  <c r="F8" i="11" s="1"/>
  <c r="F12" i="11" s="1"/>
  <c r="L27" i="10"/>
  <c r="M8" i="8"/>
  <c r="N5" i="8" s="1"/>
  <c r="N8" i="8" s="1"/>
  <c r="O5" i="8" s="1"/>
  <c r="O8" i="8" s="1"/>
  <c r="K11" i="10"/>
  <c r="K12" i="10" s="1"/>
  <c r="O10" i="9"/>
  <c r="S5" i="10" a="1"/>
  <c r="M28" i="8"/>
  <c r="M7" i="8" s="1"/>
  <c r="M11" i="10" s="1"/>
  <c r="M12" i="10" s="1"/>
  <c r="O28" i="8"/>
  <c r="O7" i="8" s="1"/>
  <c r="O27" i="7"/>
  <c r="O7" i="7" s="1"/>
  <c r="O8" i="7" s="1"/>
  <c r="O11" i="10" l="1"/>
  <c r="O12" i="10" s="1"/>
  <c r="S14" i="10"/>
  <c r="S6" i="10"/>
  <c r="S13" i="10"/>
  <c r="S12" i="10"/>
  <c r="S5" i="10"/>
  <c r="S11" i="10"/>
  <c r="S10" i="10"/>
  <c r="S9" i="10"/>
  <c r="S16" i="10"/>
  <c r="S8" i="10"/>
  <c r="S15" i="10"/>
  <c r="S7" i="10"/>
  <c r="L15" i="9"/>
  <c r="F17" i="11"/>
  <c r="G6" i="11"/>
  <c r="G8" i="11" s="1"/>
  <c r="G12" i="11" s="1"/>
  <c r="M27" i="10"/>
  <c r="N27" i="10"/>
  <c r="K27" i="10"/>
  <c r="E6" i="11"/>
  <c r="E8" i="11" s="1"/>
  <c r="E12" i="11" s="1"/>
  <c r="N15" i="9"/>
  <c r="H17" i="11"/>
  <c r="M15" i="9" l="1"/>
  <c r="G17" i="11"/>
  <c r="K15" i="9"/>
  <c r="E17" i="11"/>
  <c r="N17" i="9"/>
  <c r="N16" i="9"/>
  <c r="L17" i="9"/>
  <c r="L16" i="9"/>
  <c r="I6" i="11"/>
  <c r="O27" i="10"/>
  <c r="K16" i="9" l="1"/>
  <c r="K11" i="9" s="1"/>
  <c r="K17" i="9"/>
  <c r="I19" i="11"/>
  <c r="I20" i="11" s="1"/>
  <c r="I8" i="11"/>
  <c r="I12" i="11" s="1"/>
  <c r="M16" i="9"/>
  <c r="M17" i="9"/>
  <c r="O15" i="9" l="1"/>
  <c r="I17" i="11"/>
  <c r="D22" i="11" s="1"/>
  <c r="D25" i="11" s="1"/>
  <c r="D27" i="11" s="1"/>
  <c r="D30" i="11" s="1"/>
  <c r="L11" i="9"/>
  <c r="K12" i="9"/>
  <c r="K20" i="9" s="1"/>
  <c r="K23" i="9" s="1"/>
  <c r="K13" i="10" s="1"/>
  <c r="K16" i="10" s="1"/>
  <c r="K17" i="10" l="1"/>
  <c r="K18" i="10"/>
  <c r="K28" i="10"/>
  <c r="L12" i="9"/>
  <c r="L20" i="9" s="1"/>
  <c r="L23" i="9" s="1"/>
  <c r="L13" i="10" s="1"/>
  <c r="L16" i="10" s="1"/>
  <c r="M11" i="9"/>
  <c r="O16" i="9"/>
  <c r="O17" i="9"/>
  <c r="N11" i="9" l="1"/>
  <c r="M12" i="9"/>
  <c r="M20" i="9" s="1"/>
  <c r="M23" i="9" s="1"/>
  <c r="M13" i="10" s="1"/>
  <c r="M16" i="10" s="1"/>
  <c r="L28" i="10"/>
  <c r="L17" i="10"/>
  <c r="L18" i="10" s="1"/>
  <c r="K29" i="10"/>
  <c r="K21" i="10"/>
  <c r="L29" i="10" l="1"/>
  <c r="L21" i="10"/>
  <c r="M28" i="10"/>
  <c r="M17" i="10"/>
  <c r="M18" i="10" s="1"/>
  <c r="N12" i="9"/>
  <c r="N20" i="9" s="1"/>
  <c r="N23" i="9" s="1"/>
  <c r="N13" i="10" s="1"/>
  <c r="N16" i="10" s="1"/>
  <c r="O11" i="9"/>
  <c r="O12" i="9" s="1"/>
  <c r="O20" i="9" s="1"/>
  <c r="O23" i="9" s="1"/>
  <c r="O13" i="10" s="1"/>
  <c r="O16" i="10" s="1"/>
  <c r="M29" i="10" l="1"/>
  <c r="M21" i="10"/>
  <c r="N28" i="10"/>
  <c r="N17" i="10"/>
  <c r="N18" i="10" s="1"/>
  <c r="O28" i="10"/>
  <c r="O17" i="10"/>
  <c r="O18" i="10" s="1"/>
  <c r="O21" i="10" l="1"/>
  <c r="O29" i="10"/>
  <c r="N21" i="10"/>
  <c r="N29" i="10"/>
</calcChain>
</file>

<file path=xl/sharedStrings.xml><?xml version="1.0" encoding="utf-8"?>
<sst xmlns="http://schemas.openxmlformats.org/spreadsheetml/2006/main" count="372" uniqueCount="266">
  <si>
    <t>Historicals</t>
  </si>
  <si>
    <t>CAD (Thousands)</t>
  </si>
  <si>
    <t>*</t>
  </si>
  <si>
    <t>Income Statement</t>
  </si>
  <si>
    <t>6 Year CAGR</t>
  </si>
  <si>
    <t>Revenues</t>
  </si>
  <si>
    <t>Cost of Sales</t>
  </si>
  <si>
    <t xml:space="preserve">Gross Profit </t>
  </si>
  <si>
    <t>SG&amp;A Exp</t>
  </si>
  <si>
    <t>EBITDA</t>
  </si>
  <si>
    <t>D&amp;A</t>
  </si>
  <si>
    <t>EBIT</t>
  </si>
  <si>
    <t>Interest Inc/(Exp)</t>
  </si>
  <si>
    <t>Non-Operating Inc/(Exp)</t>
  </si>
  <si>
    <t>Unsual Items Inc/(Exp)</t>
  </si>
  <si>
    <t>EBT</t>
  </si>
  <si>
    <t>Tax</t>
  </si>
  <si>
    <t>Net Income</t>
  </si>
  <si>
    <t>No. of Shareholders</t>
  </si>
  <si>
    <t>EPS</t>
  </si>
  <si>
    <t>Balance Sheet</t>
  </si>
  <si>
    <t>Cash and Cash Equivalents</t>
  </si>
  <si>
    <t>Short-term Investments</t>
  </si>
  <si>
    <t>Receivables</t>
  </si>
  <si>
    <t>Inventories</t>
  </si>
  <si>
    <t>Other Current Assets</t>
  </si>
  <si>
    <t>Total Current Assets</t>
  </si>
  <si>
    <t>Exploration and Evaluation Assets</t>
  </si>
  <si>
    <t>Property, Plant and Equipment</t>
  </si>
  <si>
    <t>Investments</t>
  </si>
  <si>
    <t>Intangible Assets</t>
  </si>
  <si>
    <t>Restricted Cash</t>
  </si>
  <si>
    <t>Other Non-current Assets</t>
  </si>
  <si>
    <t>Advance Payments</t>
  </si>
  <si>
    <t>Total Non-Current Assets</t>
  </si>
  <si>
    <t>Total Assets</t>
  </si>
  <si>
    <t>Accounts Payable - Other</t>
  </si>
  <si>
    <t>Current Portion of Long-term Debt</t>
  </si>
  <si>
    <t>Income and Mining Taxes Payable</t>
  </si>
  <si>
    <t>Current Portion of Provisions</t>
  </si>
  <si>
    <t>Total Current Liabilities</t>
  </si>
  <si>
    <t>Long-term Debt</t>
  </si>
  <si>
    <t>Convertible Debentures</t>
  </si>
  <si>
    <t>Lease Liabilities</t>
  </si>
  <si>
    <t>Derivative Liabilities</t>
  </si>
  <si>
    <t>Deferred Grant</t>
  </si>
  <si>
    <t>Deferred Income Taxes</t>
  </si>
  <si>
    <t>Other Long-term Liabilities</t>
  </si>
  <si>
    <t>Provisions</t>
  </si>
  <si>
    <t>Property Taxes Payable</t>
  </si>
  <si>
    <t>Rehabilitation Obligations</t>
  </si>
  <si>
    <t>Total Non-Current Liabilities</t>
  </si>
  <si>
    <t>Total Liabilities</t>
  </si>
  <si>
    <t>Common Stock - Par Value</t>
  </si>
  <si>
    <t>Minority Interest</t>
  </si>
  <si>
    <t>Additional Paid in Capital</t>
  </si>
  <si>
    <t>Retained Earnings (Accumulated Deficit)</t>
  </si>
  <si>
    <t>Foreign Currency Translation Reserve</t>
  </si>
  <si>
    <t>Warrants</t>
  </si>
  <si>
    <t>Total Shareholders Equity</t>
  </si>
  <si>
    <t>Total Liabilities &amp; Shareholders Equity</t>
  </si>
  <si>
    <t>Cash Flow Statement</t>
  </si>
  <si>
    <t>Non-Cash Adj:</t>
  </si>
  <si>
    <t>Depreciation</t>
  </si>
  <si>
    <t>Accretion Expense of Provisions</t>
  </si>
  <si>
    <t>Amortization of transaction Costs and accretion of long-term debt</t>
  </si>
  <si>
    <t>Loss on Sale of Property, Plant and Equipment</t>
  </si>
  <si>
    <t>Change in Fair Value of Non-current Investments and Related Gain on Disposal</t>
  </si>
  <si>
    <t>Write-off of a non-current investment</t>
  </si>
  <si>
    <t>Stock based Compensation</t>
  </si>
  <si>
    <t>Unrealized Foreign Exchange Loss</t>
  </si>
  <si>
    <t>Deferred Income and Mining-taxes</t>
  </si>
  <si>
    <t>Other</t>
  </si>
  <si>
    <t>Change in OWC</t>
  </si>
  <si>
    <t>Cash Flow from Operating Activities</t>
  </si>
  <si>
    <t>Purchase of Property Plant, and Equipment</t>
  </si>
  <si>
    <t>Proceeds from Disposals of Property, Plant and Equipment</t>
  </si>
  <si>
    <t>Investment in Exploration and Evaluation Assets</t>
  </si>
  <si>
    <t>(Purchases) of Intangible Assets</t>
  </si>
  <si>
    <t>Changes of Short-term Investments</t>
  </si>
  <si>
    <t>Disposals/(Acquisition) of Non-current Investments</t>
  </si>
  <si>
    <t>Increase in Other Non-current Financial Assets</t>
  </si>
  <si>
    <t>Increase in Advance Payments</t>
  </si>
  <si>
    <t>Changes in Restricted Cash</t>
  </si>
  <si>
    <t>Cash Flow from Investing Activities</t>
  </si>
  <si>
    <t>Repayment of Long-term Debt</t>
  </si>
  <si>
    <t>Proceeds of Long-term Debt</t>
  </si>
  <si>
    <t>Payment of Lease Liabilities</t>
  </si>
  <si>
    <t>Exercise of stock options</t>
  </si>
  <si>
    <t>Exercise of Warrants</t>
  </si>
  <si>
    <t>Repurchase of Equity</t>
  </si>
  <si>
    <t>Withholding Taxes Paid Pursuant to the Settlement of Rsus</t>
  </si>
  <si>
    <t>Dividends Paid on Ordinary and Preferred Shares</t>
  </si>
  <si>
    <t>Transaction Costs on Long-term Debt</t>
  </si>
  <si>
    <t>Cash Flow from Financing Activities</t>
  </si>
  <si>
    <t>Effect of Exchange Rate Changes</t>
  </si>
  <si>
    <t>Cash Flow Net Changes in Cash</t>
  </si>
  <si>
    <t>CAPEX/Sales</t>
  </si>
  <si>
    <t>DEP/CAPEX</t>
  </si>
  <si>
    <t>DEP/PPE</t>
  </si>
  <si>
    <t>Intangible additions/Sales</t>
  </si>
  <si>
    <t>WCC</t>
  </si>
  <si>
    <t>Operating Current Assets</t>
  </si>
  <si>
    <t>Total Operating Current Assets</t>
  </si>
  <si>
    <t>Operating Current Liabilities</t>
  </si>
  <si>
    <t>Total Operating Current Liabilities</t>
  </si>
  <si>
    <t>Net Working Capital</t>
  </si>
  <si>
    <t>Working Capital Changes</t>
  </si>
  <si>
    <t>WACC using Comparables Approach</t>
  </si>
  <si>
    <t>Peer Comps</t>
  </si>
  <si>
    <t xml:space="preserve">Name </t>
  </si>
  <si>
    <t>Country</t>
  </si>
  <si>
    <t>Total Debt</t>
  </si>
  <si>
    <t>Total Equity</t>
  </si>
  <si>
    <t>Tax Rate</t>
  </si>
  <si>
    <t>Debt/Equity</t>
  </si>
  <si>
    <t>Debt/Capital</t>
  </si>
  <si>
    <t>Levered Beta</t>
  </si>
  <si>
    <t>Unlevered Beta</t>
  </si>
  <si>
    <t>Fortescue Ltd (ASX:FMG)</t>
  </si>
  <si>
    <t>AUS</t>
  </si>
  <si>
    <t>Labrador Iron Ore Royalty Corporation (TSX:LIF)</t>
  </si>
  <si>
    <t>CAD</t>
  </si>
  <si>
    <t>Grange Resources Limited (ASX:GRR)</t>
  </si>
  <si>
    <t>AUD</t>
  </si>
  <si>
    <t>Mount Gibson Iron Limited (ASX:MGX)</t>
  </si>
  <si>
    <t>Shougang Hierro Peru S.a.a. (BVL:SHPC1)</t>
  </si>
  <si>
    <t>PER</t>
  </si>
  <si>
    <t>CAP S.A. (SNSE:CAP)</t>
  </si>
  <si>
    <t>CLP</t>
  </si>
  <si>
    <t>Godawari Power &amp; Ispat Limited (NSEI:GPIL)</t>
  </si>
  <si>
    <t>INR</t>
  </si>
  <si>
    <t>HBIS Resources Co., Ltd. (SZSE:000923)</t>
  </si>
  <si>
    <t>CNY</t>
  </si>
  <si>
    <t>The Sandur Manganese &amp; Iron Ores Limited (BSE:504918)</t>
  </si>
  <si>
    <t>Cleveland-Cliffs Inc. (NYSE:CLF)</t>
  </si>
  <si>
    <t>USD</t>
  </si>
  <si>
    <t>Kumba Iron Ore Limited (JSE:KIO)</t>
  </si>
  <si>
    <t>ZAR</t>
  </si>
  <si>
    <t>Ferrexpo plc (LSE:FXPO)</t>
  </si>
  <si>
    <t>GBP</t>
  </si>
  <si>
    <t>Average</t>
  </si>
  <si>
    <t>Median</t>
  </si>
  <si>
    <t>Cost of Debt</t>
  </si>
  <si>
    <t>Cost of Equity</t>
  </si>
  <si>
    <t>Pre-Tax Cost of Debt</t>
  </si>
  <si>
    <t>Risk Free Rate (CAD)</t>
  </si>
  <si>
    <t>Beta (AUD)</t>
  </si>
  <si>
    <t>Equity Risk Premium (AUD)</t>
  </si>
  <si>
    <t>Capital Structure</t>
  </si>
  <si>
    <t>Current</t>
  </si>
  <si>
    <t>Target</t>
  </si>
  <si>
    <t>Comps Median Unlevered Beta</t>
  </si>
  <si>
    <t>Target Debt/Equity</t>
  </si>
  <si>
    <t>Total Capital</t>
  </si>
  <si>
    <t>WACC</t>
  </si>
  <si>
    <t>Cost</t>
  </si>
  <si>
    <t>Weight</t>
  </si>
  <si>
    <t>Debt</t>
  </si>
  <si>
    <t>Equity</t>
  </si>
  <si>
    <t>WACC using Regression</t>
  </si>
  <si>
    <t>Risk Free Rate</t>
  </si>
  <si>
    <t>Equity Risk Premium</t>
  </si>
  <si>
    <t>Total Cost</t>
  </si>
  <si>
    <t>Total Weight</t>
  </si>
  <si>
    <t>Beta - 5Y Monthly</t>
  </si>
  <si>
    <t>Champion Iron</t>
  </si>
  <si>
    <t>S&amp;P/ASX 200 Index</t>
  </si>
  <si>
    <t>Beta Drifting</t>
  </si>
  <si>
    <t>Date</t>
  </si>
  <si>
    <t>Returns</t>
  </si>
  <si>
    <t>% Change</t>
  </si>
  <si>
    <t>Raw Levered Beta</t>
  </si>
  <si>
    <t>Raw Beta Weight</t>
  </si>
  <si>
    <t>Market Beta</t>
  </si>
  <si>
    <t>Market Beta Weight</t>
  </si>
  <si>
    <t>Adj Beta</t>
  </si>
  <si>
    <t xml:space="preserve">Market Return </t>
  </si>
  <si>
    <t>Average R</t>
  </si>
  <si>
    <t>Dividend Yield</t>
  </si>
  <si>
    <t>Total Average R</t>
  </si>
  <si>
    <t>Growth</t>
  </si>
  <si>
    <t>Current Assets</t>
  </si>
  <si>
    <t>Current Liabilities</t>
  </si>
  <si>
    <t>Non-Current Assets</t>
  </si>
  <si>
    <t>Invested Capital</t>
  </si>
  <si>
    <t>ROIC</t>
  </si>
  <si>
    <t>Net Capex</t>
  </si>
  <si>
    <t>Change in WC</t>
  </si>
  <si>
    <t>Marginal Tax Rate</t>
  </si>
  <si>
    <t>EBIT (After Tax)</t>
  </si>
  <si>
    <t>Reinvestment</t>
  </si>
  <si>
    <t>Reinvestment Rate</t>
  </si>
  <si>
    <t xml:space="preserve">Average </t>
  </si>
  <si>
    <t xml:space="preserve">Median </t>
  </si>
  <si>
    <t>Growth Rate</t>
  </si>
  <si>
    <t xml:space="preserve">PPE </t>
  </si>
  <si>
    <t>Opening Balance</t>
  </si>
  <si>
    <t>Gross Capex</t>
  </si>
  <si>
    <t>Closing Balance</t>
  </si>
  <si>
    <t>Capex as % of Beg PPE</t>
  </si>
  <si>
    <t>Capex as a % of Rev</t>
  </si>
  <si>
    <t>Step</t>
  </si>
  <si>
    <t>Depreciation Schedule</t>
  </si>
  <si>
    <t>Useful Life</t>
  </si>
  <si>
    <t>Total</t>
  </si>
  <si>
    <t>Asset Category for PPE</t>
  </si>
  <si>
    <t xml:space="preserve">Useful Life </t>
  </si>
  <si>
    <t>Dep Amt</t>
  </si>
  <si>
    <t>Weights</t>
  </si>
  <si>
    <t>Useful Life * Weights</t>
  </si>
  <si>
    <t>Mining and Processing Equipment</t>
  </si>
  <si>
    <t>Locomotives, Railcars and Rails</t>
  </si>
  <si>
    <t>Tailings Dikes</t>
  </si>
  <si>
    <t>Assets under Construction</t>
  </si>
  <si>
    <t>Mining Development and Stripping Assets</t>
  </si>
  <si>
    <t>Asset Rehab Obligation and Other</t>
  </si>
  <si>
    <t>Right-of-Use Assets - Building</t>
  </si>
  <si>
    <t>Right-of-Use Assets - Transshipment Infra</t>
  </si>
  <si>
    <t>Right-of-Use Assets - Mining and Processing Equipment</t>
  </si>
  <si>
    <t>Right-of-Use Assets - Locomotives, Railcars and Rails</t>
  </si>
  <si>
    <t xml:space="preserve">Total </t>
  </si>
  <si>
    <t>Capex as a % of Beg Intangible Asstes</t>
  </si>
  <si>
    <t>Capex as % of Revenue</t>
  </si>
  <si>
    <t>Port Access</t>
  </si>
  <si>
    <t>Software</t>
  </si>
  <si>
    <t>Financing</t>
  </si>
  <si>
    <t>Cover negative CF's with:</t>
  </si>
  <si>
    <t>Bond Yeild</t>
  </si>
  <si>
    <t>Interest Expense</t>
  </si>
  <si>
    <t>Interest Rate</t>
  </si>
  <si>
    <t>FCFF</t>
  </si>
  <si>
    <t>Net Interest Inc/(Exp):</t>
  </si>
  <si>
    <t>Int Exp On LT Debt</t>
  </si>
  <si>
    <t>Other Int Exp</t>
  </si>
  <si>
    <t>Int Income</t>
  </si>
  <si>
    <t>Other Int Exp as a % of COS</t>
  </si>
  <si>
    <t>Int Income as a % of Rev</t>
  </si>
  <si>
    <t>Final IS</t>
  </si>
  <si>
    <t>Year Weight</t>
  </si>
  <si>
    <t>Year</t>
  </si>
  <si>
    <t>Revenue</t>
  </si>
  <si>
    <t>% Growth</t>
  </si>
  <si>
    <t>Growth Rates</t>
  </si>
  <si>
    <t>Ratios</t>
  </si>
  <si>
    <t>GPM</t>
  </si>
  <si>
    <t>EBITDAM</t>
  </si>
  <si>
    <t>Notes:</t>
  </si>
  <si>
    <t xml:space="preserve">1) DRPF project (commissioned Dec 2025) drives revenue growth in FY2026E-2027E through premium pricing, then stabilizes; linear regression confirms this pattern and growth rates are applied through forecast period.
</t>
  </si>
  <si>
    <t>2) Annual Report makes no mention of additional debt or equity issuance planned; therefore, current capital structure (as of FY2025A) is used for WACC calculation through forecast period.</t>
  </si>
  <si>
    <t>3) IF function used to model revolver draw in FY2026E to cover negative free cash flow; revolver automatically repaid when cash flow turns positive in FY2027E onwards.</t>
  </si>
  <si>
    <t>DCF</t>
  </si>
  <si>
    <t>Mid Year Convention</t>
  </si>
  <si>
    <t>Discounting Factor</t>
  </si>
  <si>
    <t>PV of FCFF</t>
  </si>
  <si>
    <t>Terminal Value</t>
  </si>
  <si>
    <t>PV of Terminal Value</t>
  </si>
  <si>
    <t>Enterprise Value</t>
  </si>
  <si>
    <t>Add:Cash</t>
  </si>
  <si>
    <t>Less:Debt</t>
  </si>
  <si>
    <t>Value of Equity</t>
  </si>
  <si>
    <t>Intrinsic Price</t>
  </si>
  <si>
    <t>Current Price</t>
  </si>
  <si>
    <t>Premium/Discount</t>
  </si>
  <si>
    <t>Expected Growth</t>
  </si>
  <si>
    <t>Terminal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</si>
</sst>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&quot;A&quot;"/>
    <numFmt numFmtId="165" formatCode="#,##0;\(#,##0\);\-"/>
    <numFmt numFmtId="166" formatCode="0.000"/>
    <numFmt numFmtId="167" formatCode="0.0%"/>
    <numFmt numFmtId="168" formatCode="m/d/yyyy"/>
    <numFmt numFmtId="169" formatCode="dd&quot;/&quot;mm&quot;/&quot;yyyy"/>
    <numFmt numFmtId="170" formatCode="0000&quot;E&quot;"/>
    <numFmt numFmtId="171" formatCode="0.00\x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color rgb="FF000000"/>
      <name val="Arial"/>
      <family val="2"/>
    </font>
    <font>
      <sz val="10"/>
      <color rgb="FF4285F4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164" fontId="3" fillId="2" borderId="1" xfId="0" applyNumberFormat="1" applyFont="1" applyFill="1" applyBorder="1"/>
    <xf numFmtId="164" fontId="2" fillId="2" borderId="1" xfId="0" applyNumberFormat="1" applyFont="1" applyFill="1" applyBorder="1"/>
    <xf numFmtId="10" fontId="1" fillId="2" borderId="0" xfId="0" applyNumberFormat="1" applyFont="1" applyFill="1"/>
    <xf numFmtId="165" fontId="1" fillId="2" borderId="0" xfId="0" applyNumberFormat="1" applyFont="1" applyFill="1"/>
    <xf numFmtId="165" fontId="2" fillId="2" borderId="0" xfId="0" applyNumberFormat="1" applyFont="1" applyFill="1"/>
    <xf numFmtId="4" fontId="2" fillId="2" borderId="0" xfId="0" applyNumberFormat="1" applyFont="1" applyFill="1"/>
    <xf numFmtId="166" fontId="1" fillId="2" borderId="0" xfId="0" applyNumberFormat="1" applyFont="1" applyFill="1"/>
    <xf numFmtId="0" fontId="2" fillId="0" borderId="0" xfId="0" applyFont="1"/>
    <xf numFmtId="0" fontId="1" fillId="0" borderId="1" xfId="0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10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67" fontId="1" fillId="0" borderId="0" xfId="0" applyNumberFormat="1" applyFont="1"/>
    <xf numFmtId="167" fontId="2" fillId="0" borderId="0" xfId="0" applyNumberFormat="1" applyFont="1"/>
    <xf numFmtId="2" fontId="2" fillId="0" borderId="0" xfId="0" applyNumberFormat="1" applyFont="1"/>
    <xf numFmtId="168" fontId="2" fillId="0" borderId="1" xfId="0" applyNumberFormat="1" applyFont="1" applyBorder="1"/>
    <xf numFmtId="168" fontId="1" fillId="0" borderId="1" xfId="0" applyNumberFormat="1" applyFont="1" applyBorder="1"/>
    <xf numFmtId="0" fontId="2" fillId="0" borderId="1" xfId="0" applyFont="1" applyBorder="1"/>
    <xf numFmtId="167" fontId="5" fillId="0" borderId="0" xfId="0" applyNumberFormat="1" applyFont="1"/>
    <xf numFmtId="2" fontId="1" fillId="0" borderId="0" xfId="0" applyNumberFormat="1" applyFont="1"/>
    <xf numFmtId="167" fontId="6" fillId="0" borderId="0" xfId="0" applyNumberFormat="1" applyFont="1"/>
    <xf numFmtId="4" fontId="1" fillId="0" borderId="0" xfId="0" applyNumberFormat="1" applyFont="1"/>
    <xf numFmtId="9" fontId="1" fillId="0" borderId="1" xfId="0" applyNumberFormat="1" applyFont="1" applyBorder="1"/>
    <xf numFmtId="9" fontId="1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2" fontId="6" fillId="0" borderId="0" xfId="0" applyNumberFormat="1" applyFont="1"/>
    <xf numFmtId="169" fontId="1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/>
    </xf>
    <xf numFmtId="9" fontId="6" fillId="0" borderId="0" xfId="0" applyNumberFormat="1" applyFont="1"/>
    <xf numFmtId="10" fontId="1" fillId="0" borderId="0" xfId="0" applyNumberFormat="1" applyFont="1" applyAlignment="1">
      <alignment horizontal="right"/>
    </xf>
    <xf numFmtId="0" fontId="6" fillId="0" borderId="0" xfId="0" applyFont="1"/>
    <xf numFmtId="165" fontId="6" fillId="0" borderId="0" xfId="0" applyNumberFormat="1" applyFont="1"/>
    <xf numFmtId="0" fontId="2" fillId="0" borderId="2" xfId="0" applyFont="1" applyBorder="1"/>
    <xf numFmtId="167" fontId="2" fillId="0" borderId="2" xfId="0" applyNumberFormat="1" applyFont="1" applyBorder="1"/>
    <xf numFmtId="9" fontId="5" fillId="0" borderId="0" xfId="0" applyNumberFormat="1" applyFont="1"/>
    <xf numFmtId="9" fontId="8" fillId="0" borderId="0" xfId="0" applyNumberFormat="1" applyFont="1"/>
    <xf numFmtId="10" fontId="2" fillId="0" borderId="2" xfId="0" applyNumberFormat="1" applyFont="1" applyBorder="1"/>
    <xf numFmtId="0" fontId="1" fillId="0" borderId="2" xfId="0" applyFont="1" applyBorder="1"/>
    <xf numFmtId="170" fontId="2" fillId="0" borderId="1" xfId="0" applyNumberFormat="1" applyFont="1" applyBorder="1"/>
    <xf numFmtId="165" fontId="5" fillId="0" borderId="0" xfId="0" applyNumberFormat="1" applyFont="1"/>
    <xf numFmtId="0" fontId="2" fillId="0" borderId="2" xfId="0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10" fontId="1" fillId="0" borderId="2" xfId="0" applyNumberFormat="1" applyFont="1" applyBorder="1" applyAlignment="1">
      <alignment horizontal="right"/>
    </xf>
    <xf numFmtId="10" fontId="6" fillId="0" borderId="0" xfId="0" applyNumberFormat="1" applyFont="1"/>
    <xf numFmtId="3" fontId="6" fillId="0" borderId="0" xfId="0" applyNumberFormat="1" applyFont="1"/>
    <xf numFmtId="3" fontId="1" fillId="0" borderId="0" xfId="0" applyNumberFormat="1" applyFont="1"/>
    <xf numFmtId="170" fontId="2" fillId="2" borderId="1" xfId="0" applyNumberFormat="1" applyFont="1" applyFill="1" applyBorder="1"/>
    <xf numFmtId="164" fontId="1" fillId="0" borderId="0" xfId="0" applyNumberFormat="1" applyFont="1"/>
    <xf numFmtId="170" fontId="1" fillId="0" borderId="0" xfId="0" applyNumberFormat="1" applyFont="1"/>
    <xf numFmtId="0" fontId="1" fillId="0" borderId="0" xfId="0" applyFont="1" applyAlignment="1">
      <alignment horizontal="center"/>
    </xf>
    <xf numFmtId="10" fontId="5" fillId="0" borderId="0" xfId="0" applyNumberFormat="1" applyFont="1"/>
    <xf numFmtId="171" fontId="1" fillId="0" borderId="0" xfId="0" applyNumberFormat="1" applyFont="1"/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10" fontId="2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right"/>
    </xf>
    <xf numFmtId="0" fontId="0" fillId="0" borderId="0" xfId="0"/>
    <xf numFmtId="2" fontId="2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2" fillId="0" borderId="0" xfId="0" applyFont="1" applyAlignment="1">
      <alignment horizontal="right"/>
    </xf>
    <xf numFmtId="165" fontId="1" fillId="0" borderId="0" xfId="0" applyNumberFormat="1" applyFont="1"/>
    <xf numFmtId="0" fontId="1" fillId="2" borderId="3" xfId="0" applyFont="1" applyFill="1" applyBorder="1"/>
    <xf numFmtId="0" fontId="0" fillId="0" borderId="3" xfId="0" applyBorder="1"/>
    <xf numFmtId="165" fontId="1" fillId="0" borderId="3" xfId="0" applyNumberFormat="1" applyFont="1" applyBorder="1"/>
    <xf numFmtId="165" fontId="1" fillId="2" borderId="3" xfId="0" applyNumberFormat="1" applyFont="1" applyFill="1" applyBorder="1"/>
    <xf numFmtId="0" fontId="2" fillId="2" borderId="3" xfId="0" applyFont="1" applyFill="1" applyBorder="1"/>
    <xf numFmtId="165" fontId="2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54"/>
  <sheetViews>
    <sheetView showGridLines="0" tabSelected="1" workbookViewId="0">
      <pane ySplit="3" topLeftCell="A15" activePane="bottomLeft" state="frozen"/>
      <selection pane="bottomLeft" activeCell="B113" sqref="B113"/>
    </sheetView>
  </sheetViews>
  <sheetFormatPr defaultColWidth="12.6328125" defaultRowHeight="15.75" customHeight="1" x14ac:dyDescent="0.25"/>
  <cols>
    <col min="1" max="1" width="4.453125" customWidth="1"/>
    <col min="2" max="2" width="59.72656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3" t="s">
        <v>1</v>
      </c>
      <c r="C3" s="3"/>
      <c r="D3" s="4">
        <v>2019</v>
      </c>
      <c r="E3" s="5">
        <f t="shared" ref="E3:J3" si="0">D3+1</f>
        <v>2020</v>
      </c>
      <c r="F3" s="5">
        <f t="shared" si="0"/>
        <v>2021</v>
      </c>
      <c r="G3" s="5">
        <f t="shared" si="0"/>
        <v>2022</v>
      </c>
      <c r="H3" s="5">
        <f t="shared" si="0"/>
        <v>2023</v>
      </c>
      <c r="I3" s="5">
        <f t="shared" si="0"/>
        <v>2024</v>
      </c>
      <c r="J3" s="5">
        <f t="shared" si="0"/>
        <v>2025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2</v>
      </c>
      <c r="B4" s="2" t="s">
        <v>3</v>
      </c>
      <c r="C4" s="1"/>
      <c r="D4" s="1"/>
      <c r="E4" s="6"/>
      <c r="F4" s="6"/>
      <c r="G4" s="6"/>
      <c r="H4" s="6"/>
      <c r="I4" s="6"/>
      <c r="J4" s="6"/>
      <c r="K4" s="1" t="s">
        <v>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" t="s">
        <v>5</v>
      </c>
      <c r="C5" s="1"/>
      <c r="D5" s="7">
        <v>655129</v>
      </c>
      <c r="E5" s="7">
        <v>785086</v>
      </c>
      <c r="F5" s="7">
        <v>1281815</v>
      </c>
      <c r="G5" s="7">
        <v>1460806</v>
      </c>
      <c r="H5" s="7">
        <v>1395088</v>
      </c>
      <c r="I5" s="7">
        <v>1524294</v>
      </c>
      <c r="J5" s="7">
        <v>1606579</v>
      </c>
      <c r="K5" s="6">
        <f>_xlfn.RRI(6,D5,J5)</f>
        <v>0.16125931382136116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 t="s">
        <v>6</v>
      </c>
      <c r="C6" s="1"/>
      <c r="D6" s="7">
        <v>-351946</v>
      </c>
      <c r="E6" s="7">
        <v>-399368</v>
      </c>
      <c r="F6" s="7">
        <v>-428882</v>
      </c>
      <c r="G6" s="7">
        <v>-458678</v>
      </c>
      <c r="H6" s="7">
        <v>-822762</v>
      </c>
      <c r="I6" s="7">
        <v>-884022</v>
      </c>
      <c r="J6" s="7">
        <v>-1056243</v>
      </c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 t="s">
        <v>7</v>
      </c>
      <c r="C7" s="1"/>
      <c r="D7" s="7">
        <f t="shared" ref="D7:J7" si="1">SUM(D5:D6)</f>
        <v>303183</v>
      </c>
      <c r="E7" s="7">
        <f t="shared" si="1"/>
        <v>385718</v>
      </c>
      <c r="F7" s="7">
        <f t="shared" si="1"/>
        <v>852933</v>
      </c>
      <c r="G7" s="7">
        <f t="shared" si="1"/>
        <v>1002128</v>
      </c>
      <c r="H7" s="7">
        <f t="shared" si="1"/>
        <v>572326</v>
      </c>
      <c r="I7" s="7">
        <f t="shared" si="1"/>
        <v>640272</v>
      </c>
      <c r="J7" s="7">
        <f t="shared" si="1"/>
        <v>550336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 t="s">
        <v>8</v>
      </c>
      <c r="C8" s="1"/>
      <c r="D8" s="7">
        <v>-28073</v>
      </c>
      <c r="E8" s="7">
        <v>-37178</v>
      </c>
      <c r="F8" s="7">
        <v>-43693</v>
      </c>
      <c r="G8" s="7">
        <v>-67119</v>
      </c>
      <c r="H8" s="7">
        <v>-79972</v>
      </c>
      <c r="I8" s="7">
        <v>-87481</v>
      </c>
      <c r="J8" s="7">
        <v>-81221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 t="s">
        <v>9</v>
      </c>
      <c r="C9" s="1"/>
      <c r="D9" s="7">
        <f t="shared" ref="D9:J9" si="2">SUM(D7:D8)</f>
        <v>275110</v>
      </c>
      <c r="E9" s="7">
        <f t="shared" si="2"/>
        <v>348540</v>
      </c>
      <c r="F9" s="7">
        <f t="shared" si="2"/>
        <v>809240</v>
      </c>
      <c r="G9" s="7">
        <f t="shared" si="2"/>
        <v>935009</v>
      </c>
      <c r="H9" s="7">
        <f t="shared" si="2"/>
        <v>492354</v>
      </c>
      <c r="I9" s="7">
        <f t="shared" si="2"/>
        <v>552791</v>
      </c>
      <c r="J9" s="7">
        <f t="shared" si="2"/>
        <v>469115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79" t="s">
        <v>10</v>
      </c>
      <c r="C10" s="79"/>
      <c r="D10" s="82">
        <v>-14551</v>
      </c>
      <c r="E10" s="82">
        <v>-22001</v>
      </c>
      <c r="F10" s="82">
        <v>-35177</v>
      </c>
      <c r="G10" s="82">
        <v>-43929</v>
      </c>
      <c r="H10" s="82">
        <v>-121044</v>
      </c>
      <c r="I10" s="82">
        <v>-123584</v>
      </c>
      <c r="J10" s="82">
        <v>-148604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2" t="s">
        <v>11</v>
      </c>
      <c r="C11" s="2"/>
      <c r="D11" s="8">
        <f t="shared" ref="D11:J11" si="3">SUM(D9:D10)</f>
        <v>260559</v>
      </c>
      <c r="E11" s="8">
        <f t="shared" si="3"/>
        <v>326539</v>
      </c>
      <c r="F11" s="8">
        <f t="shared" si="3"/>
        <v>774063</v>
      </c>
      <c r="G11" s="8">
        <f t="shared" si="3"/>
        <v>891080</v>
      </c>
      <c r="H11" s="8">
        <f t="shared" si="3"/>
        <v>371310</v>
      </c>
      <c r="I11" s="8">
        <f t="shared" si="3"/>
        <v>429207</v>
      </c>
      <c r="J11" s="8">
        <f t="shared" si="3"/>
        <v>320511</v>
      </c>
      <c r="K11" s="6">
        <f>_xlfn.RRI(6,D11,J11)</f>
        <v>3.5117084747044558E-2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 t="s">
        <v>12</v>
      </c>
      <c r="C12" s="1"/>
      <c r="D12" s="7">
        <v>-50010</v>
      </c>
      <c r="E12" s="7">
        <v>-84244</v>
      </c>
      <c r="F12" s="7">
        <v>-22428</v>
      </c>
      <c r="G12" s="7">
        <v>-11045</v>
      </c>
      <c r="H12" s="7">
        <v>-25587</v>
      </c>
      <c r="I12" s="7">
        <v>-36138</v>
      </c>
      <c r="J12" s="7">
        <v>-57539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 t="s">
        <v>13</v>
      </c>
      <c r="C13" s="1"/>
      <c r="D13" s="7">
        <v>0</v>
      </c>
      <c r="E13" s="7">
        <v>-1107</v>
      </c>
      <c r="F13" s="7">
        <v>10237</v>
      </c>
      <c r="G13" s="7">
        <v>8560</v>
      </c>
      <c r="H13" s="7">
        <v>822</v>
      </c>
      <c r="I13" s="7">
        <v>-242</v>
      </c>
      <c r="J13" s="7">
        <v>2175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79" t="s">
        <v>14</v>
      </c>
      <c r="C14" s="79"/>
      <c r="D14" s="82">
        <v>3062</v>
      </c>
      <c r="E14" s="82">
        <v>0</v>
      </c>
      <c r="F14" s="82">
        <v>0</v>
      </c>
      <c r="G14" s="82">
        <v>-17752</v>
      </c>
      <c r="H14" s="82">
        <v>0</v>
      </c>
      <c r="I14" s="82">
        <v>0</v>
      </c>
      <c r="J14" s="82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2" t="s">
        <v>15</v>
      </c>
      <c r="C15" s="2"/>
      <c r="D15" s="8">
        <f t="shared" ref="D15:J15" si="4">SUM(D11:D14)</f>
        <v>213611</v>
      </c>
      <c r="E15" s="8">
        <f t="shared" si="4"/>
        <v>241188</v>
      </c>
      <c r="F15" s="8">
        <f t="shared" si="4"/>
        <v>761872</v>
      </c>
      <c r="G15" s="8">
        <f t="shared" si="4"/>
        <v>870843</v>
      </c>
      <c r="H15" s="8">
        <f t="shared" si="4"/>
        <v>346545</v>
      </c>
      <c r="I15" s="8">
        <f t="shared" si="4"/>
        <v>392827</v>
      </c>
      <c r="J15" s="8">
        <f t="shared" si="4"/>
        <v>265147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79" t="s">
        <v>16</v>
      </c>
      <c r="C16" s="79"/>
      <c r="D16" s="82">
        <v>-66012</v>
      </c>
      <c r="E16" s="82">
        <v>-120138</v>
      </c>
      <c r="F16" s="82">
        <v>-297447</v>
      </c>
      <c r="G16" s="82">
        <v>-348258</v>
      </c>
      <c r="H16" s="82">
        <v>-145838</v>
      </c>
      <c r="I16" s="82">
        <v>-158636</v>
      </c>
      <c r="J16" s="82">
        <v>-123102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2" t="s">
        <v>17</v>
      </c>
      <c r="C17" s="2"/>
      <c r="D17" s="8">
        <f t="shared" ref="D17:J17" si="5">SUM(D15:D16)</f>
        <v>147599</v>
      </c>
      <c r="E17" s="8">
        <f t="shared" si="5"/>
        <v>121050</v>
      </c>
      <c r="F17" s="8">
        <f t="shared" si="5"/>
        <v>464425</v>
      </c>
      <c r="G17" s="8">
        <f t="shared" si="5"/>
        <v>522585</v>
      </c>
      <c r="H17" s="8">
        <f t="shared" si="5"/>
        <v>200707</v>
      </c>
      <c r="I17" s="8">
        <f t="shared" si="5"/>
        <v>234191</v>
      </c>
      <c r="J17" s="8">
        <f t="shared" si="5"/>
        <v>142045</v>
      </c>
      <c r="K17" s="6">
        <f>_xlfn.RRI(6,D17,J17)</f>
        <v>-6.3721492419737125E-3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2"/>
      <c r="C18" s="1"/>
      <c r="D18" s="6"/>
      <c r="E18" s="6"/>
      <c r="F18" s="6"/>
      <c r="G18" s="6"/>
      <c r="H18" s="6"/>
      <c r="I18" s="6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 t="s">
        <v>18</v>
      </c>
      <c r="C19" s="1"/>
      <c r="D19" s="7">
        <v>420700</v>
      </c>
      <c r="E19" s="7">
        <v>441600</v>
      </c>
      <c r="F19" s="7">
        <v>478600</v>
      </c>
      <c r="G19" s="7">
        <v>507600</v>
      </c>
      <c r="H19" s="7">
        <v>517000</v>
      </c>
      <c r="I19" s="7">
        <v>517600</v>
      </c>
      <c r="J19" s="7">
        <v>518200.00000000006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2" t="s">
        <v>19</v>
      </c>
      <c r="C20" s="1"/>
      <c r="D20" s="9">
        <f t="shared" ref="D20:J20" si="6">D17/D19</f>
        <v>0.35084145471832662</v>
      </c>
      <c r="E20" s="9">
        <f t="shared" si="6"/>
        <v>0.27411684782608697</v>
      </c>
      <c r="F20" s="9">
        <f t="shared" si="6"/>
        <v>0.97038236523192645</v>
      </c>
      <c r="G20" s="9">
        <f t="shared" si="6"/>
        <v>1.0295212765957447</v>
      </c>
      <c r="H20" s="9">
        <f t="shared" si="6"/>
        <v>0.38821470019342358</v>
      </c>
      <c r="I20" s="9">
        <f t="shared" si="6"/>
        <v>0.45245556414219473</v>
      </c>
      <c r="J20" s="9">
        <f t="shared" si="6"/>
        <v>0.27411231184870705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 t="s">
        <v>2</v>
      </c>
      <c r="B22" s="2" t="s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 t="s">
        <v>21</v>
      </c>
      <c r="C23" s="1"/>
      <c r="D23" s="7">
        <v>135424</v>
      </c>
      <c r="E23" s="7">
        <v>281363</v>
      </c>
      <c r="F23" s="7">
        <v>609316</v>
      </c>
      <c r="G23" s="7">
        <v>321892</v>
      </c>
      <c r="H23" s="7">
        <v>326806</v>
      </c>
      <c r="I23" s="7">
        <v>400061</v>
      </c>
      <c r="J23" s="7">
        <v>117451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 t="s">
        <v>22</v>
      </c>
      <c r="C24" s="1"/>
      <c r="D24" s="7">
        <v>17907</v>
      </c>
      <c r="E24" s="7">
        <v>17291</v>
      </c>
      <c r="F24" s="7">
        <v>27200</v>
      </c>
      <c r="G24" s="7">
        <v>30777</v>
      </c>
      <c r="H24" s="7">
        <v>312</v>
      </c>
      <c r="I24" s="7">
        <v>0</v>
      </c>
      <c r="J24" s="7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 x14ac:dyDescent="0.25">
      <c r="A25" s="1"/>
      <c r="B25" s="1" t="s">
        <v>23</v>
      </c>
      <c r="C25" s="1"/>
      <c r="D25" s="7">
        <v>93012</v>
      </c>
      <c r="E25" s="7">
        <v>31249</v>
      </c>
      <c r="F25" s="7">
        <v>98755</v>
      </c>
      <c r="G25" s="7">
        <v>124137</v>
      </c>
      <c r="H25" s="7">
        <v>162268</v>
      </c>
      <c r="I25" s="7">
        <v>120079</v>
      </c>
      <c r="J25" s="7">
        <v>202470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A26" s="1"/>
      <c r="B26" s="1" t="s">
        <v>24</v>
      </c>
      <c r="C26" s="1"/>
      <c r="D26" s="7">
        <v>44154</v>
      </c>
      <c r="E26" s="7">
        <v>58611</v>
      </c>
      <c r="F26" s="7">
        <v>66814</v>
      </c>
      <c r="G26" s="7">
        <v>98861</v>
      </c>
      <c r="H26" s="7">
        <v>167670</v>
      </c>
      <c r="I26" s="7">
        <v>332611</v>
      </c>
      <c r="J26" s="7">
        <v>357489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A27" s="1"/>
      <c r="B27" s="1" t="s">
        <v>25</v>
      </c>
      <c r="C27" s="1"/>
      <c r="D27" s="7">
        <v>24186</v>
      </c>
      <c r="E27" s="7">
        <v>13035</v>
      </c>
      <c r="F27" s="7">
        <v>5454</v>
      </c>
      <c r="G27" s="7">
        <v>20272</v>
      </c>
      <c r="H27" s="7">
        <v>80963</v>
      </c>
      <c r="I27" s="7">
        <v>47368</v>
      </c>
      <c r="J27" s="7">
        <v>54895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3">
      <c r="A28" s="1"/>
      <c r="B28" s="2" t="s">
        <v>26</v>
      </c>
      <c r="C28" s="2"/>
      <c r="D28" s="8">
        <f t="shared" ref="D28:J28" si="7">SUM(D23:D27)</f>
        <v>314683</v>
      </c>
      <c r="E28" s="8">
        <f t="shared" si="7"/>
        <v>401549</v>
      </c>
      <c r="F28" s="8">
        <f t="shared" si="7"/>
        <v>807539</v>
      </c>
      <c r="G28" s="8">
        <f t="shared" si="7"/>
        <v>595939</v>
      </c>
      <c r="H28" s="8">
        <f t="shared" si="7"/>
        <v>738019</v>
      </c>
      <c r="I28" s="8">
        <f t="shared" si="7"/>
        <v>900119</v>
      </c>
      <c r="J28" s="8">
        <f t="shared" si="7"/>
        <v>732305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A29" s="1"/>
      <c r="B29" s="1"/>
      <c r="C29" s="1"/>
      <c r="D29" s="7"/>
      <c r="E29" s="7"/>
      <c r="F29" s="7"/>
      <c r="G29" s="7"/>
      <c r="H29" s="7"/>
      <c r="I29" s="7"/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A30" s="1"/>
      <c r="B30" s="1" t="s">
        <v>27</v>
      </c>
      <c r="C30" s="1"/>
      <c r="D30" s="7">
        <v>81508</v>
      </c>
      <c r="E30" s="7">
        <v>75525</v>
      </c>
      <c r="F30" s="7">
        <v>76106</v>
      </c>
      <c r="G30" s="7">
        <v>107810</v>
      </c>
      <c r="H30" s="7">
        <v>117127</v>
      </c>
      <c r="I30" s="7">
        <v>131827</v>
      </c>
      <c r="J30" s="7">
        <v>148029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A31" s="1"/>
      <c r="B31" s="1" t="s">
        <v>28</v>
      </c>
      <c r="C31" s="1"/>
      <c r="D31" s="7">
        <v>224123</v>
      </c>
      <c r="E31" s="7">
        <v>365470</v>
      </c>
      <c r="F31" s="7">
        <v>504985</v>
      </c>
      <c r="G31" s="7">
        <v>1070030</v>
      </c>
      <c r="H31" s="7">
        <v>1261968</v>
      </c>
      <c r="I31" s="7">
        <v>1545961</v>
      </c>
      <c r="J31" s="7">
        <v>2046406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A32" s="1"/>
      <c r="B32" s="1" t="s">
        <v>29</v>
      </c>
      <c r="C32" s="1"/>
      <c r="D32" s="7">
        <v>2653</v>
      </c>
      <c r="E32" s="7">
        <v>1546</v>
      </c>
      <c r="F32" s="7">
        <v>9704</v>
      </c>
      <c r="G32" s="7">
        <v>14158</v>
      </c>
      <c r="H32" s="7">
        <v>14751</v>
      </c>
      <c r="I32" s="7">
        <v>14509</v>
      </c>
      <c r="J32" s="7">
        <v>15393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A33" s="1"/>
      <c r="B33" s="1" t="s">
        <v>30</v>
      </c>
      <c r="C33" s="1"/>
      <c r="D33" s="7">
        <v>1472</v>
      </c>
      <c r="E33" s="7">
        <v>6070</v>
      </c>
      <c r="F33" s="7">
        <v>6257</v>
      </c>
      <c r="G33" s="7">
        <v>8545</v>
      </c>
      <c r="H33" s="7">
        <v>7866</v>
      </c>
      <c r="I33" s="7">
        <v>5172</v>
      </c>
      <c r="J33" s="7">
        <v>5219</v>
      </c>
      <c r="K33" s="7">
        <f>SUM(J33,J35)</f>
        <v>11761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1"/>
      <c r="B34" s="1" t="s">
        <v>31</v>
      </c>
      <c r="C34" s="1"/>
      <c r="D34" s="7">
        <v>0</v>
      </c>
      <c r="E34" s="7">
        <v>0</v>
      </c>
      <c r="F34" s="7">
        <v>44012</v>
      </c>
      <c r="G34" s="7">
        <v>43736</v>
      </c>
      <c r="H34" s="7">
        <v>0</v>
      </c>
      <c r="I34" s="7">
        <v>0</v>
      </c>
      <c r="J34" s="7"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1"/>
      <c r="B35" s="1" t="s">
        <v>32</v>
      </c>
      <c r="C35" s="1"/>
      <c r="D35" s="7">
        <v>10800</v>
      </c>
      <c r="E35" s="7">
        <v>0</v>
      </c>
      <c r="F35" s="7">
        <v>0</v>
      </c>
      <c r="G35" s="7">
        <v>0</v>
      </c>
      <c r="H35" s="7">
        <v>8595</v>
      </c>
      <c r="I35" s="7">
        <v>8589</v>
      </c>
      <c r="J35" s="7">
        <v>6542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/>
      <c r="B36" s="1" t="s">
        <v>33</v>
      </c>
      <c r="C36" s="1"/>
      <c r="D36" s="7">
        <v>38250</v>
      </c>
      <c r="E36" s="7">
        <v>32438</v>
      </c>
      <c r="F36" s="7">
        <v>48303</v>
      </c>
      <c r="G36" s="7">
        <v>149012</v>
      </c>
      <c r="H36" s="7">
        <v>166943</v>
      </c>
      <c r="I36" s="7">
        <v>83374</v>
      </c>
      <c r="J36" s="7">
        <v>76307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3">
      <c r="A37" s="1"/>
      <c r="B37" s="83" t="s">
        <v>34</v>
      </c>
      <c r="C37" s="79"/>
      <c r="D37" s="84">
        <f t="shared" ref="D37:J37" si="8">SUM(D30:D36)</f>
        <v>358806</v>
      </c>
      <c r="E37" s="84">
        <f t="shared" si="8"/>
        <v>481049</v>
      </c>
      <c r="F37" s="84">
        <f t="shared" si="8"/>
        <v>689367</v>
      </c>
      <c r="G37" s="84">
        <f t="shared" si="8"/>
        <v>1393291</v>
      </c>
      <c r="H37" s="84">
        <f t="shared" si="8"/>
        <v>1577250</v>
      </c>
      <c r="I37" s="84">
        <f t="shared" si="8"/>
        <v>1789432</v>
      </c>
      <c r="J37" s="84">
        <f t="shared" si="8"/>
        <v>2297896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3">
      <c r="A38" s="1"/>
      <c r="B38" s="2" t="s">
        <v>35</v>
      </c>
      <c r="C38" s="1"/>
      <c r="D38" s="8">
        <f t="shared" ref="D38:J38" si="9">SUM(D37,D28)</f>
        <v>673489</v>
      </c>
      <c r="E38" s="8">
        <f t="shared" si="9"/>
        <v>882598</v>
      </c>
      <c r="F38" s="8">
        <f t="shared" si="9"/>
        <v>1496906</v>
      </c>
      <c r="G38" s="8">
        <f t="shared" si="9"/>
        <v>1989230</v>
      </c>
      <c r="H38" s="8">
        <f t="shared" si="9"/>
        <v>2315269</v>
      </c>
      <c r="I38" s="8">
        <f t="shared" si="9"/>
        <v>2689551</v>
      </c>
      <c r="J38" s="8">
        <f t="shared" si="9"/>
        <v>3030201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/>
      <c r="B39" s="1"/>
      <c r="C39" s="1"/>
      <c r="D39" s="7"/>
      <c r="E39" s="7"/>
      <c r="F39" s="7"/>
      <c r="G39" s="7"/>
      <c r="H39" s="7"/>
      <c r="I39" s="7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/>
      <c r="B40" s="1" t="s">
        <v>36</v>
      </c>
      <c r="C40" s="1"/>
      <c r="D40" s="7">
        <v>44697</v>
      </c>
      <c r="E40" s="7">
        <v>55158</v>
      </c>
      <c r="F40" s="7">
        <v>102225</v>
      </c>
      <c r="G40" s="7">
        <v>192151</v>
      </c>
      <c r="H40" s="7">
        <v>178578</v>
      </c>
      <c r="I40" s="7">
        <v>251778</v>
      </c>
      <c r="J40" s="7">
        <v>289660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/>
      <c r="B41" s="1" t="s">
        <v>37</v>
      </c>
      <c r="C41" s="1"/>
      <c r="D41" s="7">
        <v>35852</v>
      </c>
      <c r="E41" s="7">
        <v>0</v>
      </c>
      <c r="F41" s="7">
        <v>0</v>
      </c>
      <c r="G41" s="7">
        <v>71995</v>
      </c>
      <c r="H41" s="7">
        <v>27080</v>
      </c>
      <c r="I41" s="7">
        <v>31061</v>
      </c>
      <c r="J41" s="7">
        <v>40725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/>
      <c r="B42" s="1" t="s">
        <v>38</v>
      </c>
      <c r="C42" s="1"/>
      <c r="D42" s="7">
        <v>34059</v>
      </c>
      <c r="E42" s="7">
        <v>57761</v>
      </c>
      <c r="F42" s="7">
        <v>191542</v>
      </c>
      <c r="G42" s="7">
        <v>22744</v>
      </c>
      <c r="H42" s="7">
        <v>0</v>
      </c>
      <c r="I42" s="7">
        <v>40232</v>
      </c>
      <c r="J42" s="7">
        <v>25895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/>
      <c r="B43" s="1" t="s">
        <v>39</v>
      </c>
      <c r="C43" s="1"/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2402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3">
      <c r="A44" s="1"/>
      <c r="B44" s="2" t="s">
        <v>40</v>
      </c>
      <c r="C44" s="2"/>
      <c r="D44" s="8">
        <f>SUM(D40:D43)</f>
        <v>114608</v>
      </c>
      <c r="E44" s="8">
        <f>SUM(E40:E43)</f>
        <v>112919</v>
      </c>
      <c r="F44" s="8">
        <f>SUM(F40:F43)</f>
        <v>293767</v>
      </c>
      <c r="G44" s="8">
        <f>SUM(G40:G43)</f>
        <v>286890</v>
      </c>
      <c r="H44" s="8">
        <f>SUM(H40:H43)</f>
        <v>205658</v>
      </c>
      <c r="I44" s="8">
        <f t="shared" ref="I44:J44" si="10">SUM(I40:I43)</f>
        <v>323071</v>
      </c>
      <c r="J44" s="8">
        <f t="shared" si="10"/>
        <v>358682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/>
      <c r="B45" s="1"/>
      <c r="C45" s="1"/>
      <c r="D45" s="1"/>
      <c r="E45" s="6"/>
      <c r="F45" s="6"/>
      <c r="G45" s="6"/>
      <c r="H45" s="6"/>
      <c r="I45" s="6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/>
      <c r="B46" s="1" t="s">
        <v>41</v>
      </c>
      <c r="C46" s="1"/>
      <c r="D46" s="7">
        <v>193038</v>
      </c>
      <c r="E46" s="7">
        <v>275968</v>
      </c>
      <c r="F46" s="7">
        <v>214951</v>
      </c>
      <c r="G46" s="7">
        <v>251365</v>
      </c>
      <c r="H46" s="7">
        <v>448201</v>
      </c>
      <c r="I46" s="7">
        <v>508367</v>
      </c>
      <c r="J46" s="7">
        <v>666576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/>
      <c r="B47" s="1" t="s">
        <v>42</v>
      </c>
      <c r="C47" s="1"/>
      <c r="D47" s="7">
        <v>12067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/>
      <c r="B48" s="1" t="s">
        <v>43</v>
      </c>
      <c r="C48" s="1"/>
      <c r="D48" s="7">
        <v>0</v>
      </c>
      <c r="E48" s="7">
        <v>1902</v>
      </c>
      <c r="F48" s="7">
        <v>1401</v>
      </c>
      <c r="G48" s="7">
        <v>51689</v>
      </c>
      <c r="H48" s="7">
        <v>73430</v>
      </c>
      <c r="I48" s="7">
        <v>70649</v>
      </c>
      <c r="J48" s="7">
        <v>78619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/>
      <c r="B49" s="1" t="s">
        <v>44</v>
      </c>
      <c r="C49" s="1"/>
      <c r="D49" s="7">
        <v>43819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/>
      <c r="B50" s="1" t="s">
        <v>45</v>
      </c>
      <c r="C50" s="1"/>
      <c r="D50" s="7">
        <v>0</v>
      </c>
      <c r="E50" s="7">
        <v>0</v>
      </c>
      <c r="F50" s="7">
        <v>0</v>
      </c>
      <c r="G50" s="7">
        <v>8727</v>
      </c>
      <c r="H50" s="7">
        <v>10614</v>
      </c>
      <c r="I50" s="7">
        <v>9797</v>
      </c>
      <c r="J50" s="7">
        <v>8573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/>
      <c r="B51" s="1" t="s">
        <v>46</v>
      </c>
      <c r="C51" s="1"/>
      <c r="D51" s="7">
        <v>37460</v>
      </c>
      <c r="E51" s="7">
        <v>67941</v>
      </c>
      <c r="F51" s="7">
        <v>84533</v>
      </c>
      <c r="G51" s="7">
        <v>124992</v>
      </c>
      <c r="H51" s="7">
        <v>215727</v>
      </c>
      <c r="I51" s="7">
        <v>281142</v>
      </c>
      <c r="J51" s="7">
        <v>325105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/>
      <c r="B52" s="1" t="s">
        <v>47</v>
      </c>
      <c r="C52" s="1"/>
      <c r="D52" s="7">
        <v>4798</v>
      </c>
      <c r="E52" s="7">
        <v>4410</v>
      </c>
      <c r="F52" s="7">
        <v>4163</v>
      </c>
      <c r="G52" s="7">
        <v>17848</v>
      </c>
      <c r="H52" s="7">
        <v>13427</v>
      </c>
      <c r="I52" s="7">
        <v>15422</v>
      </c>
      <c r="J52" s="7">
        <v>15620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/>
      <c r="B53" s="1" t="s">
        <v>48</v>
      </c>
      <c r="C53" s="1"/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84593</v>
      </c>
      <c r="J53" s="7">
        <v>141628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/>
      <c r="B54" s="1" t="s">
        <v>49</v>
      </c>
      <c r="C54" s="1"/>
      <c r="D54" s="7">
        <v>13940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/>
      <c r="B55" s="1" t="s">
        <v>50</v>
      </c>
      <c r="C55" s="1"/>
      <c r="D55" s="7">
        <v>36565</v>
      </c>
      <c r="E55" s="7">
        <v>42836</v>
      </c>
      <c r="F55" s="7">
        <v>45074</v>
      </c>
      <c r="G55" s="7">
        <v>86021</v>
      </c>
      <c r="H55" s="7">
        <v>85508</v>
      </c>
      <c r="I55" s="7">
        <v>0</v>
      </c>
      <c r="J55" s="7">
        <v>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3">
      <c r="A56" s="1"/>
      <c r="B56" s="83" t="s">
        <v>51</v>
      </c>
      <c r="C56" s="79"/>
      <c r="D56" s="84">
        <f t="shared" ref="D56:J56" si="11">SUM(D46:D55)</f>
        <v>341687</v>
      </c>
      <c r="E56" s="84">
        <f t="shared" si="11"/>
        <v>393057</v>
      </c>
      <c r="F56" s="84">
        <f t="shared" si="11"/>
        <v>350122</v>
      </c>
      <c r="G56" s="84">
        <f t="shared" si="11"/>
        <v>540642</v>
      </c>
      <c r="H56" s="84">
        <f t="shared" si="11"/>
        <v>846907</v>
      </c>
      <c r="I56" s="84">
        <f t="shared" si="11"/>
        <v>969970</v>
      </c>
      <c r="J56" s="84">
        <f t="shared" si="11"/>
        <v>1236121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3">
      <c r="A57" s="1"/>
      <c r="B57" s="2" t="s">
        <v>52</v>
      </c>
      <c r="C57" s="1"/>
      <c r="D57" s="8">
        <f t="shared" ref="D57:J57" si="12">SUM(D56,D44)</f>
        <v>456295</v>
      </c>
      <c r="E57" s="8">
        <f t="shared" si="12"/>
        <v>505976</v>
      </c>
      <c r="F57" s="8">
        <f t="shared" si="12"/>
        <v>643889</v>
      </c>
      <c r="G57" s="8">
        <f t="shared" si="12"/>
        <v>827532</v>
      </c>
      <c r="H57" s="8">
        <f t="shared" si="12"/>
        <v>1052565</v>
      </c>
      <c r="I57" s="8">
        <f t="shared" si="12"/>
        <v>1293041</v>
      </c>
      <c r="J57" s="8">
        <f t="shared" si="12"/>
        <v>1594803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/>
      <c r="B58" s="1"/>
      <c r="C58" s="1"/>
      <c r="D58" s="7"/>
      <c r="E58" s="7"/>
      <c r="F58" s="7"/>
      <c r="G58" s="7"/>
      <c r="H58" s="7"/>
      <c r="I58" s="7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/>
      <c r="B59" s="1" t="s">
        <v>53</v>
      </c>
      <c r="C59" s="1"/>
      <c r="D59" s="7">
        <v>237969</v>
      </c>
      <c r="E59" s="7">
        <v>431556</v>
      </c>
      <c r="F59" s="7">
        <v>515970</v>
      </c>
      <c r="G59" s="7">
        <v>398635</v>
      </c>
      <c r="H59" s="7">
        <v>401282</v>
      </c>
      <c r="I59" s="7">
        <v>409785</v>
      </c>
      <c r="J59" s="7">
        <v>411047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/>
      <c r="B60" s="1" t="s">
        <v>54</v>
      </c>
      <c r="C60" s="1"/>
      <c r="D60" s="7">
        <v>65376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/>
      <c r="B61" s="1" t="s">
        <v>55</v>
      </c>
      <c r="C61" s="1"/>
      <c r="D61" s="7">
        <v>21404</v>
      </c>
      <c r="E61" s="7">
        <v>21100</v>
      </c>
      <c r="F61" s="7">
        <v>22309</v>
      </c>
      <c r="G61" s="7">
        <v>21339</v>
      </c>
      <c r="H61" s="7">
        <v>22796</v>
      </c>
      <c r="I61" s="7">
        <v>17372</v>
      </c>
      <c r="J61" s="7">
        <v>16647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/>
      <c r="B62" s="1" t="s">
        <v>56</v>
      </c>
      <c r="C62" s="1"/>
      <c r="D62" s="7">
        <v>-127177</v>
      </c>
      <c r="E62" s="7">
        <v>-151751</v>
      </c>
      <c r="F62" s="7">
        <v>284235</v>
      </c>
      <c r="G62" s="7">
        <v>718712</v>
      </c>
      <c r="H62" s="7">
        <v>815908</v>
      </c>
      <c r="I62" s="7">
        <v>946636</v>
      </c>
      <c r="J62" s="7">
        <v>985042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/>
      <c r="B63" s="1" t="s">
        <v>57</v>
      </c>
      <c r="C63" s="1"/>
      <c r="D63" s="7">
        <v>420</v>
      </c>
      <c r="E63" s="7">
        <v>381</v>
      </c>
      <c r="F63" s="7">
        <v>530</v>
      </c>
      <c r="G63" s="7">
        <v>539</v>
      </c>
      <c r="H63" s="7">
        <v>430</v>
      </c>
      <c r="I63" s="7">
        <v>429</v>
      </c>
      <c r="J63" s="7">
        <v>374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/>
      <c r="B64" s="1" t="s">
        <v>58</v>
      </c>
      <c r="C64" s="1"/>
      <c r="D64" s="7">
        <v>17730</v>
      </c>
      <c r="E64" s="7">
        <v>75336</v>
      </c>
      <c r="F64" s="7">
        <v>29973</v>
      </c>
      <c r="G64" s="7">
        <v>22473</v>
      </c>
      <c r="H64" s="7">
        <v>22288</v>
      </c>
      <c r="I64" s="7">
        <v>22288</v>
      </c>
      <c r="J64" s="7">
        <v>22288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3">
      <c r="A65" s="1"/>
      <c r="B65" s="83" t="s">
        <v>59</v>
      </c>
      <c r="C65" s="83"/>
      <c r="D65" s="84">
        <f t="shared" ref="D65:J65" si="13">SUM(D59:D64)</f>
        <v>215722</v>
      </c>
      <c r="E65" s="84">
        <f t="shared" si="13"/>
        <v>376622</v>
      </c>
      <c r="F65" s="84">
        <f t="shared" si="13"/>
        <v>853017</v>
      </c>
      <c r="G65" s="84">
        <f t="shared" si="13"/>
        <v>1161698</v>
      </c>
      <c r="H65" s="84">
        <f t="shared" si="13"/>
        <v>1262704</v>
      </c>
      <c r="I65" s="84">
        <f t="shared" si="13"/>
        <v>1396510</v>
      </c>
      <c r="J65" s="84">
        <f t="shared" si="13"/>
        <v>1435398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3">
      <c r="A66" s="1"/>
      <c r="B66" s="2" t="s">
        <v>60</v>
      </c>
      <c r="C66" s="2"/>
      <c r="D66" s="8">
        <f t="shared" ref="D66:J66" si="14">SUM(D65,D57)</f>
        <v>672017</v>
      </c>
      <c r="E66" s="8">
        <f t="shared" si="14"/>
        <v>882598</v>
      </c>
      <c r="F66" s="8">
        <f t="shared" si="14"/>
        <v>1496906</v>
      </c>
      <c r="G66" s="8">
        <f t="shared" si="14"/>
        <v>1989230</v>
      </c>
      <c r="H66" s="8">
        <f t="shared" si="14"/>
        <v>2315269</v>
      </c>
      <c r="I66" s="8">
        <f t="shared" si="14"/>
        <v>2689551</v>
      </c>
      <c r="J66" s="8">
        <f t="shared" si="14"/>
        <v>3030201</v>
      </c>
      <c r="K66" s="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3">
      <c r="A68" s="1" t="s">
        <v>2</v>
      </c>
      <c r="B68" s="2" t="s">
        <v>61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/>
      <c r="B69" s="1" t="s">
        <v>17</v>
      </c>
      <c r="C69" s="1"/>
      <c r="D69" s="7">
        <v>147599</v>
      </c>
      <c r="E69" s="7">
        <v>121050</v>
      </c>
      <c r="F69" s="7">
        <v>464425</v>
      </c>
      <c r="G69" s="7">
        <v>522585</v>
      </c>
      <c r="H69" s="7">
        <v>200707</v>
      </c>
      <c r="I69" s="7">
        <v>234191</v>
      </c>
      <c r="J69" s="7">
        <v>142045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/>
      <c r="B71" s="1" t="s">
        <v>62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/>
      <c r="B72" s="1" t="s">
        <v>63</v>
      </c>
      <c r="C72" s="1"/>
      <c r="D72" s="7">
        <v>14551</v>
      </c>
      <c r="E72" s="7">
        <v>22001</v>
      </c>
      <c r="F72" s="7">
        <v>35177</v>
      </c>
      <c r="G72" s="7">
        <v>43929</v>
      </c>
      <c r="H72" s="7">
        <v>121044</v>
      </c>
      <c r="I72" s="7">
        <v>123584</v>
      </c>
      <c r="J72" s="7">
        <v>148604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/>
      <c r="B73" s="1" t="s">
        <v>64</v>
      </c>
      <c r="C73" s="1"/>
      <c r="D73" s="7">
        <v>167</v>
      </c>
      <c r="E73" s="7">
        <v>0</v>
      </c>
      <c r="F73" s="7">
        <v>0</v>
      </c>
      <c r="G73" s="7">
        <v>0</v>
      </c>
      <c r="H73" s="7">
        <v>854</v>
      </c>
      <c r="I73" s="7">
        <v>1294</v>
      </c>
      <c r="J73" s="7">
        <v>1717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/>
      <c r="B74" s="1" t="s">
        <v>65</v>
      </c>
      <c r="C74" s="1"/>
      <c r="D74" s="7">
        <v>0</v>
      </c>
      <c r="E74" s="7">
        <v>0</v>
      </c>
      <c r="F74" s="7">
        <v>0</v>
      </c>
      <c r="G74" s="7">
        <v>0</v>
      </c>
      <c r="H74" s="7">
        <v>4676</v>
      </c>
      <c r="I74" s="7">
        <v>5129</v>
      </c>
      <c r="J74" s="7">
        <v>4648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/>
      <c r="B75" s="1" t="s">
        <v>66</v>
      </c>
      <c r="C75" s="1"/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630</v>
      </c>
      <c r="J75" s="7">
        <v>5074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/>
      <c r="B76" s="1" t="s">
        <v>67</v>
      </c>
      <c r="C76" s="1"/>
      <c r="D76" s="7">
        <v>1597</v>
      </c>
      <c r="E76" s="7">
        <v>1107</v>
      </c>
      <c r="F76" s="7">
        <v>-10237</v>
      </c>
      <c r="G76" s="7">
        <v>-9488</v>
      </c>
      <c r="H76" s="7">
        <v>-593</v>
      </c>
      <c r="I76" s="7">
        <v>-2502</v>
      </c>
      <c r="J76" s="7">
        <v>-884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/>
      <c r="B77" s="1" t="s">
        <v>68</v>
      </c>
      <c r="C77" s="1"/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2744</v>
      </c>
      <c r="J77" s="7"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/>
      <c r="B78" s="1" t="s">
        <v>69</v>
      </c>
      <c r="C78" s="1"/>
      <c r="D78" s="7">
        <v>1808</v>
      </c>
      <c r="E78" s="7">
        <v>2551</v>
      </c>
      <c r="F78" s="7">
        <v>3983</v>
      </c>
      <c r="G78" s="7">
        <v>12818</v>
      </c>
      <c r="H78" s="7">
        <v>8662</v>
      </c>
      <c r="I78" s="7">
        <v>7455</v>
      </c>
      <c r="J78" s="7">
        <v>5397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/>
      <c r="B79" s="1" t="s">
        <v>70</v>
      </c>
      <c r="C79" s="1"/>
      <c r="D79" s="7">
        <v>3446</v>
      </c>
      <c r="E79" s="7">
        <v>2487</v>
      </c>
      <c r="F79" s="7">
        <v>5190</v>
      </c>
      <c r="G79" s="7">
        <v>524</v>
      </c>
      <c r="H79" s="7">
        <v>7867</v>
      </c>
      <c r="I79" s="7">
        <v>797</v>
      </c>
      <c r="J79" s="7">
        <v>18094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/>
      <c r="B80" s="1" t="s">
        <v>71</v>
      </c>
      <c r="C80" s="1"/>
      <c r="D80" s="7">
        <v>31995</v>
      </c>
      <c r="E80" s="7">
        <v>30481</v>
      </c>
      <c r="F80" s="7">
        <v>16592</v>
      </c>
      <c r="G80" s="7">
        <v>41778</v>
      </c>
      <c r="H80" s="7">
        <v>90735</v>
      </c>
      <c r="I80" s="7">
        <v>65415</v>
      </c>
      <c r="J80" s="7">
        <v>43963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/>
      <c r="B81" s="1" t="s">
        <v>72</v>
      </c>
      <c r="C81" s="1"/>
      <c r="D81" s="7">
        <v>29797</v>
      </c>
      <c r="E81" s="7">
        <v>40775</v>
      </c>
      <c r="F81" s="7">
        <v>3967</v>
      </c>
      <c r="G81" s="7">
        <v>2531</v>
      </c>
      <c r="H81" s="7">
        <v>-179</v>
      </c>
      <c r="I81" s="7">
        <v>-867</v>
      </c>
      <c r="J81" s="7">
        <v>-1332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/>
      <c r="B82" s="1"/>
      <c r="C82" s="1"/>
      <c r="D82" s="7"/>
      <c r="E82" s="7"/>
      <c r="F82" s="7"/>
      <c r="G82" s="7"/>
      <c r="H82" s="7"/>
      <c r="I82" s="7"/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/>
      <c r="B83" s="79" t="s">
        <v>73</v>
      </c>
      <c r="C83" s="79"/>
      <c r="D83" s="82">
        <v>-54262</v>
      </c>
      <c r="E83" s="82">
        <v>89115</v>
      </c>
      <c r="F83" s="82">
        <v>105322</v>
      </c>
      <c r="G83" s="82">
        <v>-144242</v>
      </c>
      <c r="H83" s="82">
        <v>-197789</v>
      </c>
      <c r="I83" s="82">
        <v>36715</v>
      </c>
      <c r="J83" s="82">
        <v>-63308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3">
      <c r="A84" s="1"/>
      <c r="B84" s="2" t="s">
        <v>74</v>
      </c>
      <c r="C84" s="1"/>
      <c r="D84" s="8">
        <f t="shared" ref="D84:J84" si="15">SUM(D69:D83)</f>
        <v>176698</v>
      </c>
      <c r="E84" s="8">
        <f t="shared" si="15"/>
        <v>309567</v>
      </c>
      <c r="F84" s="8">
        <f t="shared" si="15"/>
        <v>624419</v>
      </c>
      <c r="G84" s="8">
        <f t="shared" si="15"/>
        <v>470435</v>
      </c>
      <c r="H84" s="8">
        <f t="shared" si="15"/>
        <v>235984</v>
      </c>
      <c r="I84" s="8">
        <f t="shared" si="15"/>
        <v>474585</v>
      </c>
      <c r="J84" s="8">
        <f t="shared" si="15"/>
        <v>304018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/>
      <c r="B86" s="1" t="s">
        <v>75</v>
      </c>
      <c r="C86" s="1"/>
      <c r="D86" s="7">
        <v>-62942</v>
      </c>
      <c r="E86" s="7">
        <v>-147304</v>
      </c>
      <c r="F86" s="7">
        <v>-174650</v>
      </c>
      <c r="G86" s="7">
        <v>-519322</v>
      </c>
      <c r="H86" s="7">
        <v>-282892</v>
      </c>
      <c r="I86" s="7">
        <v>-328144</v>
      </c>
      <c r="J86" s="7">
        <v>-576375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/>
      <c r="B87" s="1" t="s">
        <v>76</v>
      </c>
      <c r="C87" s="1"/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2688</v>
      </c>
      <c r="J87" s="7">
        <v>38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/>
      <c r="B88" s="1" t="s">
        <v>77</v>
      </c>
      <c r="C88" s="1"/>
      <c r="D88" s="7">
        <v>-9372</v>
      </c>
      <c r="E88" s="7">
        <v>-691</v>
      </c>
      <c r="F88" s="7">
        <v>-581</v>
      </c>
      <c r="G88" s="7">
        <v>-3711</v>
      </c>
      <c r="H88" s="7">
        <v>-9317</v>
      </c>
      <c r="I88" s="7">
        <v>-14700</v>
      </c>
      <c r="J88" s="7">
        <v>-27653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/>
      <c r="B89" s="1" t="s">
        <v>78</v>
      </c>
      <c r="C89" s="1"/>
      <c r="D89" s="7">
        <v>0</v>
      </c>
      <c r="E89" s="7">
        <v>-5513</v>
      </c>
      <c r="F89" s="7">
        <v>-1705</v>
      </c>
      <c r="G89" s="7">
        <v>-1357</v>
      </c>
      <c r="H89" s="7">
        <v>-2455</v>
      </c>
      <c r="I89" s="7">
        <v>-430</v>
      </c>
      <c r="J89" s="7">
        <v>-1568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/>
      <c r="B90" s="1" t="s">
        <v>79</v>
      </c>
      <c r="C90" s="1"/>
      <c r="D90" s="7">
        <v>-616</v>
      </c>
      <c r="E90" s="7">
        <v>616</v>
      </c>
      <c r="F90" s="7">
        <v>-10045</v>
      </c>
      <c r="G90" s="7">
        <v>-3598</v>
      </c>
      <c r="H90" s="7">
        <v>31070</v>
      </c>
      <c r="I90" s="7">
        <v>312</v>
      </c>
      <c r="J90" s="7">
        <v>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/>
      <c r="B91" s="1" t="s">
        <v>80</v>
      </c>
      <c r="C91" s="1"/>
      <c r="D91" s="7">
        <v>0</v>
      </c>
      <c r="E91" s="7">
        <v>0</v>
      </c>
      <c r="F91" s="7">
        <v>2079</v>
      </c>
      <c r="G91" s="7">
        <v>-10410</v>
      </c>
      <c r="H91" s="7">
        <v>0</v>
      </c>
      <c r="I91" s="7">
        <v>0</v>
      </c>
      <c r="J91" s="7">
        <v>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/>
      <c r="B92" s="1" t="s">
        <v>81</v>
      </c>
      <c r="C92" s="1"/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-760</v>
      </c>
      <c r="J92" s="7">
        <v>-90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/>
      <c r="B93" s="1" t="s">
        <v>82</v>
      </c>
      <c r="C93" s="1"/>
      <c r="D93" s="7">
        <v>0</v>
      </c>
      <c r="E93" s="7">
        <v>0</v>
      </c>
      <c r="F93" s="7">
        <v>-15211</v>
      </c>
      <c r="G93" s="7">
        <v>-97067</v>
      </c>
      <c r="H93" s="7">
        <v>-30001</v>
      </c>
      <c r="I93" s="7">
        <v>-13683</v>
      </c>
      <c r="J93" s="7">
        <v>-10101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/>
      <c r="B94" s="79" t="s">
        <v>83</v>
      </c>
      <c r="C94" s="79"/>
      <c r="D94" s="82">
        <v>0</v>
      </c>
      <c r="E94" s="82">
        <v>0</v>
      </c>
      <c r="F94" s="82">
        <v>-44972</v>
      </c>
      <c r="G94" s="82">
        <v>0</v>
      </c>
      <c r="H94" s="82">
        <v>43736</v>
      </c>
      <c r="I94" s="82">
        <v>0</v>
      </c>
      <c r="J94" s="82">
        <v>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3">
      <c r="A95" s="1"/>
      <c r="B95" s="2" t="s">
        <v>84</v>
      </c>
      <c r="C95" s="1"/>
      <c r="D95" s="8">
        <f t="shared" ref="D95:J95" si="16">SUM(D86:D94)</f>
        <v>-72930</v>
      </c>
      <c r="E95" s="8">
        <f t="shared" si="16"/>
        <v>-152892</v>
      </c>
      <c r="F95" s="8">
        <f t="shared" si="16"/>
        <v>-245085</v>
      </c>
      <c r="G95" s="8">
        <f t="shared" si="16"/>
        <v>-635465</v>
      </c>
      <c r="H95" s="8">
        <f t="shared" si="16"/>
        <v>-249859</v>
      </c>
      <c r="I95" s="8">
        <f t="shared" si="16"/>
        <v>-354717</v>
      </c>
      <c r="J95" s="8">
        <f t="shared" si="16"/>
        <v>-615749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/>
      <c r="B97" s="1" t="s">
        <v>85</v>
      </c>
      <c r="C97" s="1"/>
      <c r="D97" s="7">
        <v>-7636</v>
      </c>
      <c r="E97" s="7">
        <v>-266444</v>
      </c>
      <c r="F97" s="7">
        <v>-25262</v>
      </c>
      <c r="G97" s="7">
        <v>-2116</v>
      </c>
      <c r="H97" s="7">
        <v>-100126</v>
      </c>
      <c r="I97" s="7">
        <v>-273792</v>
      </c>
      <c r="J97" s="7">
        <v>-51136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/>
      <c r="B98" s="1" t="s">
        <v>86</v>
      </c>
      <c r="C98" s="1"/>
      <c r="D98" s="7">
        <v>74195</v>
      </c>
      <c r="E98" s="7">
        <v>267522</v>
      </c>
      <c r="F98" s="7">
        <v>0</v>
      </c>
      <c r="G98" s="7">
        <v>120874</v>
      </c>
      <c r="H98" s="7">
        <v>219167</v>
      </c>
      <c r="I98" s="7">
        <v>337920</v>
      </c>
      <c r="J98" s="7">
        <v>187951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/>
      <c r="B99" s="1" t="s">
        <v>87</v>
      </c>
      <c r="C99" s="1"/>
      <c r="D99" s="7">
        <v>0</v>
      </c>
      <c r="E99" s="7">
        <v>-622</v>
      </c>
      <c r="F99" s="7">
        <v>-988</v>
      </c>
      <c r="G99" s="7">
        <v>-2043</v>
      </c>
      <c r="H99" s="7">
        <v>-6004</v>
      </c>
      <c r="I99" s="7">
        <v>-8422</v>
      </c>
      <c r="J99" s="7">
        <v>-9269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/>
      <c r="B100" s="1" t="s">
        <v>88</v>
      </c>
      <c r="C100" s="1"/>
      <c r="D100" s="7">
        <v>2025</v>
      </c>
      <c r="E100" s="7">
        <v>5747</v>
      </c>
      <c r="F100" s="7">
        <v>5077</v>
      </c>
      <c r="G100" s="7">
        <v>803</v>
      </c>
      <c r="H100" s="7">
        <v>1500</v>
      </c>
      <c r="I100" s="7">
        <v>5250</v>
      </c>
      <c r="J100" s="7">
        <v>750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/>
      <c r="B101" s="1" t="s">
        <v>89</v>
      </c>
      <c r="C101" s="1"/>
      <c r="D101" s="7">
        <v>0</v>
      </c>
      <c r="E101" s="7">
        <v>15434</v>
      </c>
      <c r="F101" s="7">
        <v>31200</v>
      </c>
      <c r="G101" s="7">
        <v>11250</v>
      </c>
      <c r="H101" s="7">
        <v>317</v>
      </c>
      <c r="I101" s="7">
        <v>0</v>
      </c>
      <c r="J101" s="7">
        <v>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/>
      <c r="B102" s="1" t="s">
        <v>90</v>
      </c>
      <c r="C102" s="1"/>
      <c r="D102" s="7">
        <v>0</v>
      </c>
      <c r="E102" s="7">
        <v>-211000</v>
      </c>
      <c r="F102" s="7">
        <v>0</v>
      </c>
      <c r="G102" s="7">
        <v>-185000</v>
      </c>
      <c r="H102" s="7">
        <v>0</v>
      </c>
      <c r="I102" s="7">
        <v>0</v>
      </c>
      <c r="J102" s="7">
        <v>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/>
      <c r="B103" s="1" t="s">
        <v>91</v>
      </c>
      <c r="C103" s="1"/>
      <c r="D103" s="7">
        <v>0</v>
      </c>
      <c r="E103" s="7">
        <v>0</v>
      </c>
      <c r="F103" s="7">
        <v>0</v>
      </c>
      <c r="G103" s="7">
        <v>-443</v>
      </c>
      <c r="H103" s="7">
        <v>0</v>
      </c>
      <c r="I103" s="7">
        <v>-1071</v>
      </c>
      <c r="J103" s="7">
        <v>-218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/>
      <c r="B104" s="1" t="s">
        <v>92</v>
      </c>
      <c r="C104" s="1"/>
      <c r="D104" s="7">
        <v>0</v>
      </c>
      <c r="E104" s="7">
        <v>0</v>
      </c>
      <c r="F104" s="7">
        <v>-28439</v>
      </c>
      <c r="G104" s="7">
        <v>-57093</v>
      </c>
      <c r="H104" s="7">
        <v>-103344</v>
      </c>
      <c r="I104" s="7">
        <v>-103448</v>
      </c>
      <c r="J104" s="7">
        <v>-103635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/>
      <c r="B105" s="1" t="s">
        <v>93</v>
      </c>
      <c r="C105" s="1"/>
      <c r="D105" s="7">
        <v>-1618</v>
      </c>
      <c r="E105" s="7">
        <v>-7322</v>
      </c>
      <c r="F105" s="7">
        <v>-7888</v>
      </c>
      <c r="G105" s="7">
        <v>-4373</v>
      </c>
      <c r="H105" s="7">
        <v>-4606</v>
      </c>
      <c r="I105" s="7">
        <v>-4801</v>
      </c>
      <c r="J105" s="7">
        <v>-1029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/>
      <c r="B106" s="79" t="s">
        <v>72</v>
      </c>
      <c r="C106" s="79"/>
      <c r="D106" s="82">
        <v>-46465</v>
      </c>
      <c r="E106" s="82">
        <v>181795</v>
      </c>
      <c r="F106" s="82">
        <v>0</v>
      </c>
      <c r="G106" s="82">
        <v>0</v>
      </c>
      <c r="H106" s="82">
        <v>0</v>
      </c>
      <c r="I106" s="82">
        <v>0</v>
      </c>
      <c r="J106" s="82">
        <v>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1"/>
      <c r="B107" s="2" t="s">
        <v>94</v>
      </c>
      <c r="C107" s="1"/>
      <c r="D107" s="8">
        <f t="shared" ref="D107:J107" si="17">SUM(D97:D106)</f>
        <v>20501</v>
      </c>
      <c r="E107" s="8">
        <f t="shared" si="17"/>
        <v>-14890</v>
      </c>
      <c r="F107" s="8">
        <f t="shared" si="17"/>
        <v>-26300</v>
      </c>
      <c r="G107" s="8">
        <f t="shared" si="17"/>
        <v>-118141</v>
      </c>
      <c r="H107" s="8">
        <f t="shared" si="17"/>
        <v>6904</v>
      </c>
      <c r="I107" s="8">
        <f t="shared" si="17"/>
        <v>-48364</v>
      </c>
      <c r="J107" s="8">
        <f t="shared" si="17"/>
        <v>23414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/>
      <c r="B109" s="79" t="s">
        <v>95</v>
      </c>
      <c r="C109" s="79"/>
      <c r="D109" s="82">
        <v>3260</v>
      </c>
      <c r="E109" s="82">
        <v>4154</v>
      </c>
      <c r="F109" s="82">
        <v>0</v>
      </c>
      <c r="G109" s="82">
        <v>-4253</v>
      </c>
      <c r="H109" s="82">
        <v>11885</v>
      </c>
      <c r="I109" s="82">
        <v>1751</v>
      </c>
      <c r="J109" s="82">
        <v>5707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1"/>
      <c r="B110" s="2" t="s">
        <v>96</v>
      </c>
      <c r="C110" s="2"/>
      <c r="D110" s="8">
        <f t="shared" ref="D110:J110" si="18">SUM(D109,D107,D95,D84)</f>
        <v>127529</v>
      </c>
      <c r="E110" s="8">
        <f t="shared" si="18"/>
        <v>145939</v>
      </c>
      <c r="F110" s="8">
        <f t="shared" si="18"/>
        <v>353034</v>
      </c>
      <c r="G110" s="8">
        <f t="shared" si="18"/>
        <v>-287424</v>
      </c>
      <c r="H110" s="8">
        <f t="shared" si="18"/>
        <v>4914</v>
      </c>
      <c r="I110" s="8">
        <f t="shared" si="18"/>
        <v>73255</v>
      </c>
      <c r="J110" s="8">
        <f t="shared" si="18"/>
        <v>-282610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1"/>
      <c r="B113" s="2" t="s">
        <v>97</v>
      </c>
      <c r="C113" s="1"/>
      <c r="D113" s="10">
        <f t="shared" ref="D113:J113" si="19">-(D86/D5)</f>
        <v>9.6075734702631088E-2</v>
      </c>
      <c r="E113" s="10">
        <f t="shared" si="19"/>
        <v>0.18762785223529652</v>
      </c>
      <c r="F113" s="10">
        <f t="shared" si="19"/>
        <v>0.13625211126410597</v>
      </c>
      <c r="G113" s="10">
        <f t="shared" si="19"/>
        <v>0.355503742454508</v>
      </c>
      <c r="H113" s="10">
        <f t="shared" si="19"/>
        <v>0.20277717247944216</v>
      </c>
      <c r="I113" s="10">
        <f t="shared" si="19"/>
        <v>0.21527605566905073</v>
      </c>
      <c r="J113" s="10">
        <f t="shared" si="19"/>
        <v>0.35875920200625055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1"/>
      <c r="B114" s="2" t="s">
        <v>98</v>
      </c>
      <c r="C114" s="1"/>
      <c r="D114" s="10">
        <f t="shared" ref="D114:J114" si="20">-(D73/D86)</f>
        <v>2.6532363127959075E-3</v>
      </c>
      <c r="E114" s="10">
        <f t="shared" si="20"/>
        <v>0</v>
      </c>
      <c r="F114" s="10">
        <f t="shared" si="20"/>
        <v>0</v>
      </c>
      <c r="G114" s="10">
        <f t="shared" si="20"/>
        <v>0</v>
      </c>
      <c r="H114" s="10">
        <f t="shared" si="20"/>
        <v>3.0188199030018524E-3</v>
      </c>
      <c r="I114" s="10">
        <f t="shared" si="20"/>
        <v>3.9433907065190895E-3</v>
      </c>
      <c r="J114" s="10">
        <f t="shared" si="20"/>
        <v>2.978963348514422E-3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1"/>
      <c r="B115" s="2" t="s">
        <v>99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1"/>
      <c r="B117" s="2" t="s">
        <v>100</v>
      </c>
      <c r="C117" s="1"/>
      <c r="D117" s="10">
        <f t="shared" ref="D117:J117" si="21">-(D89/D5)</f>
        <v>0</v>
      </c>
      <c r="E117" s="10">
        <f t="shared" si="21"/>
        <v>7.0221606295361276E-3</v>
      </c>
      <c r="F117" s="10">
        <f t="shared" si="21"/>
        <v>1.3301451457503619E-3</v>
      </c>
      <c r="G117" s="10">
        <f t="shared" si="21"/>
        <v>9.2893922943909049E-4</v>
      </c>
      <c r="H117" s="10">
        <f t="shared" si="21"/>
        <v>1.7597456217815651E-3</v>
      </c>
      <c r="I117" s="10">
        <f t="shared" si="21"/>
        <v>2.8209781052736547E-4</v>
      </c>
      <c r="J117" s="10">
        <f t="shared" si="21"/>
        <v>9.7598686401353431E-4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/>
      <c r="B125" s="1"/>
      <c r="C125" s="1"/>
      <c r="D125" s="7"/>
      <c r="E125" s="7"/>
      <c r="F125" s="7"/>
      <c r="G125" s="7"/>
      <c r="H125" s="7"/>
      <c r="I125" s="7"/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/>
      <c r="B126" s="1"/>
      <c r="C126" s="1"/>
      <c r="D126" s="6"/>
      <c r="E126" s="6"/>
      <c r="F126" s="6"/>
      <c r="G126" s="6"/>
      <c r="H126" s="6"/>
      <c r="I126" s="6"/>
      <c r="J126" s="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65"/>
  <sheetViews>
    <sheetView showGridLines="0" workbookViewId="0">
      <pane ySplit="3" topLeftCell="A13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4.453125" customWidth="1"/>
    <col min="2" max="2" width="53.26953125" customWidth="1"/>
  </cols>
  <sheetData>
    <row r="2" spans="2:11" ht="15.75" customHeight="1" x14ac:dyDescent="0.3">
      <c r="B2" s="11" t="s">
        <v>101</v>
      </c>
    </row>
    <row r="3" spans="2:11" ht="15.75" customHeight="1" x14ac:dyDescent="0.3">
      <c r="B3" s="12" t="s">
        <v>1</v>
      </c>
      <c r="C3" s="12"/>
      <c r="D3" s="13">
        <v>2019</v>
      </c>
      <c r="E3" s="14">
        <f t="shared" ref="E3:J3" si="0">D3+1</f>
        <v>2020</v>
      </c>
      <c r="F3" s="14">
        <f t="shared" si="0"/>
        <v>2021</v>
      </c>
      <c r="G3" s="14">
        <f t="shared" si="0"/>
        <v>2022</v>
      </c>
      <c r="H3" s="14">
        <f t="shared" si="0"/>
        <v>2023</v>
      </c>
      <c r="I3" s="14">
        <f t="shared" si="0"/>
        <v>2024</v>
      </c>
      <c r="J3" s="14">
        <f t="shared" si="0"/>
        <v>2025</v>
      </c>
    </row>
    <row r="4" spans="2:11" ht="15.75" customHeight="1" x14ac:dyDescent="0.3">
      <c r="B4" s="11" t="s">
        <v>102</v>
      </c>
      <c r="E4" s="15"/>
      <c r="F4" s="15"/>
      <c r="G4" s="15"/>
      <c r="H4" s="15"/>
      <c r="I4" s="15"/>
      <c r="J4" s="15"/>
    </row>
    <row r="5" spans="2:11" ht="15.75" customHeight="1" x14ac:dyDescent="0.25">
      <c r="B5" s="16" t="s">
        <v>22</v>
      </c>
      <c r="D5" s="17">
        <v>17907</v>
      </c>
      <c r="E5" s="17">
        <v>17291</v>
      </c>
      <c r="F5" s="17">
        <v>27200</v>
      </c>
      <c r="G5" s="17">
        <v>30777</v>
      </c>
      <c r="H5" s="17">
        <v>312</v>
      </c>
      <c r="I5" s="17">
        <v>0</v>
      </c>
      <c r="J5" s="17">
        <v>0</v>
      </c>
      <c r="K5" s="15"/>
    </row>
    <row r="6" spans="2:11" ht="15.75" customHeight="1" x14ac:dyDescent="0.25">
      <c r="B6" s="16" t="s">
        <v>23</v>
      </c>
      <c r="D6" s="17">
        <v>93012</v>
      </c>
      <c r="E6" s="17">
        <v>31249</v>
      </c>
      <c r="F6" s="17">
        <v>98755</v>
      </c>
      <c r="G6" s="17">
        <v>124137</v>
      </c>
      <c r="H6" s="17">
        <v>162268</v>
      </c>
      <c r="I6" s="17">
        <v>120079</v>
      </c>
      <c r="J6" s="17">
        <v>202470</v>
      </c>
    </row>
    <row r="7" spans="2:11" ht="15.75" customHeight="1" x14ac:dyDescent="0.25">
      <c r="B7" s="16" t="s">
        <v>24</v>
      </c>
      <c r="D7" s="17">
        <v>44154</v>
      </c>
      <c r="E7" s="17">
        <v>58611</v>
      </c>
      <c r="F7" s="17">
        <v>66814</v>
      </c>
      <c r="G7" s="17">
        <v>98861</v>
      </c>
      <c r="H7" s="17">
        <v>167670</v>
      </c>
      <c r="I7" s="17">
        <v>332611</v>
      </c>
      <c r="J7" s="17">
        <v>357489</v>
      </c>
    </row>
    <row r="8" spans="2:11" ht="15.75" customHeight="1" x14ac:dyDescent="0.25">
      <c r="B8" s="16" t="s">
        <v>25</v>
      </c>
      <c r="D8" s="17">
        <v>24186</v>
      </c>
      <c r="E8" s="17">
        <v>13035</v>
      </c>
      <c r="F8" s="17">
        <v>5454</v>
      </c>
      <c r="G8" s="17">
        <v>20272</v>
      </c>
      <c r="H8" s="17">
        <v>80963</v>
      </c>
      <c r="I8" s="17">
        <v>47368</v>
      </c>
      <c r="J8" s="17">
        <v>54895</v>
      </c>
    </row>
    <row r="9" spans="2:11" ht="15.75" customHeight="1" x14ac:dyDescent="0.3">
      <c r="B9" s="11" t="s">
        <v>103</v>
      </c>
      <c r="C9" s="11"/>
      <c r="D9" s="18">
        <f t="shared" ref="D9:J9" si="1">SUM(D5:D8)</f>
        <v>179259</v>
      </c>
      <c r="E9" s="18">
        <f t="shared" si="1"/>
        <v>120186</v>
      </c>
      <c r="F9" s="18">
        <f t="shared" si="1"/>
        <v>198223</v>
      </c>
      <c r="G9" s="18">
        <f t="shared" si="1"/>
        <v>274047</v>
      </c>
      <c r="H9" s="18">
        <f t="shared" si="1"/>
        <v>411213</v>
      </c>
      <c r="I9" s="18">
        <f t="shared" si="1"/>
        <v>500058</v>
      </c>
      <c r="J9" s="18">
        <f t="shared" si="1"/>
        <v>614854</v>
      </c>
    </row>
    <row r="10" spans="2:11" ht="15.75" customHeight="1" x14ac:dyDescent="0.3">
      <c r="B10" s="11"/>
      <c r="C10" s="11"/>
      <c r="D10" s="18"/>
      <c r="E10" s="18"/>
      <c r="F10" s="18"/>
      <c r="G10" s="18"/>
      <c r="H10" s="18"/>
      <c r="I10" s="18"/>
      <c r="J10" s="18"/>
      <c r="K10" s="15"/>
    </row>
    <row r="11" spans="2:11" ht="15.75" customHeight="1" x14ac:dyDescent="0.3">
      <c r="B11" s="11" t="s">
        <v>104</v>
      </c>
      <c r="D11" s="17"/>
      <c r="E11" s="17"/>
      <c r="F11" s="17"/>
      <c r="G11" s="17"/>
      <c r="H11" s="17"/>
      <c r="I11" s="17"/>
      <c r="J11" s="17"/>
    </row>
    <row r="12" spans="2:11" ht="15.75" customHeight="1" x14ac:dyDescent="0.25">
      <c r="B12" s="16" t="s">
        <v>36</v>
      </c>
      <c r="D12" s="17">
        <v>44697</v>
      </c>
      <c r="E12" s="17">
        <v>55158</v>
      </c>
      <c r="F12" s="17">
        <v>102225</v>
      </c>
      <c r="G12" s="17">
        <v>192151</v>
      </c>
      <c r="H12" s="17">
        <v>178578</v>
      </c>
      <c r="I12" s="17">
        <v>251778</v>
      </c>
      <c r="J12" s="17">
        <v>289660</v>
      </c>
    </row>
    <row r="13" spans="2:11" ht="15.75" customHeight="1" x14ac:dyDescent="0.25">
      <c r="B13" s="16" t="s">
        <v>37</v>
      </c>
      <c r="D13" s="17">
        <v>35852</v>
      </c>
      <c r="E13" s="17">
        <v>0</v>
      </c>
      <c r="F13" s="17">
        <v>0</v>
      </c>
      <c r="G13" s="17">
        <v>71995</v>
      </c>
      <c r="H13" s="17">
        <v>27080</v>
      </c>
      <c r="I13" s="17">
        <v>31061</v>
      </c>
      <c r="J13" s="17">
        <v>40725</v>
      </c>
    </row>
    <row r="14" spans="2:11" ht="15.75" customHeight="1" x14ac:dyDescent="0.25">
      <c r="B14" s="16" t="s">
        <v>38</v>
      </c>
      <c r="D14" s="17">
        <v>34059</v>
      </c>
      <c r="E14" s="17">
        <v>57761</v>
      </c>
      <c r="F14" s="17">
        <v>191542</v>
      </c>
      <c r="G14" s="17">
        <v>22744</v>
      </c>
      <c r="H14" s="17">
        <v>0</v>
      </c>
      <c r="I14" s="17">
        <v>40232</v>
      </c>
      <c r="J14" s="17">
        <v>25895</v>
      </c>
    </row>
    <row r="15" spans="2:11" ht="15.75" customHeight="1" x14ac:dyDescent="0.25">
      <c r="B15" s="16" t="str">
        <f>Historicals!B43</f>
        <v>Current Portion of Provisions</v>
      </c>
      <c r="C15" s="16">
        <f>Historicals!C43</f>
        <v>0</v>
      </c>
      <c r="D15" s="17">
        <f>Historicals!D43</f>
        <v>0</v>
      </c>
      <c r="E15" s="17">
        <f>Historicals!E43</f>
        <v>0</v>
      </c>
      <c r="F15" s="17">
        <f>Historicals!F43</f>
        <v>0</v>
      </c>
      <c r="G15" s="17">
        <f>Historicals!G43</f>
        <v>0</v>
      </c>
      <c r="H15" s="17">
        <f>Historicals!H43</f>
        <v>0</v>
      </c>
      <c r="I15" s="17">
        <f>Historicals!I43</f>
        <v>0</v>
      </c>
      <c r="J15" s="17">
        <f>Historicals!J43</f>
        <v>2402</v>
      </c>
    </row>
    <row r="16" spans="2:11" ht="15.75" customHeight="1" x14ac:dyDescent="0.3">
      <c r="B16" s="11" t="s">
        <v>105</v>
      </c>
      <c r="C16" s="11"/>
      <c r="D16" s="18">
        <f t="shared" ref="D16:I16" si="2">SUM(D12:D14)</f>
        <v>114608</v>
      </c>
      <c r="E16" s="18">
        <f t="shared" si="2"/>
        <v>112919</v>
      </c>
      <c r="F16" s="18">
        <f t="shared" si="2"/>
        <v>293767</v>
      </c>
      <c r="G16" s="18">
        <f t="shared" si="2"/>
        <v>286890</v>
      </c>
      <c r="H16" s="18">
        <f t="shared" si="2"/>
        <v>205658</v>
      </c>
      <c r="I16" s="18">
        <f t="shared" si="2"/>
        <v>323071</v>
      </c>
      <c r="J16" s="18">
        <f>SUM(J12:J15)</f>
        <v>358682</v>
      </c>
    </row>
    <row r="17" spans="2:11" ht="15.75" customHeight="1" x14ac:dyDescent="0.3">
      <c r="B17" s="11"/>
      <c r="C17" s="11"/>
      <c r="D17" s="18"/>
      <c r="E17" s="18"/>
      <c r="F17" s="18"/>
      <c r="G17" s="18"/>
      <c r="H17" s="18"/>
      <c r="I17" s="18"/>
      <c r="J17" s="18"/>
      <c r="K17" s="15"/>
    </row>
    <row r="18" spans="2:11" ht="15.75" customHeight="1" x14ac:dyDescent="0.3">
      <c r="B18" s="11" t="s">
        <v>106</v>
      </c>
      <c r="D18" s="19">
        <f t="shared" ref="D18:J18" si="3">D9-D16</f>
        <v>64651</v>
      </c>
      <c r="E18" s="19">
        <f t="shared" si="3"/>
        <v>7267</v>
      </c>
      <c r="F18" s="19">
        <f t="shared" si="3"/>
        <v>-95544</v>
      </c>
      <c r="G18" s="19">
        <f t="shared" si="3"/>
        <v>-12843</v>
      </c>
      <c r="H18" s="19">
        <f t="shared" si="3"/>
        <v>205555</v>
      </c>
      <c r="I18" s="19">
        <f t="shared" si="3"/>
        <v>176987</v>
      </c>
      <c r="J18" s="19">
        <f t="shared" si="3"/>
        <v>256172</v>
      </c>
    </row>
    <row r="19" spans="2:11" ht="15.75" customHeight="1" x14ac:dyDescent="0.3">
      <c r="B19" s="11" t="s">
        <v>107</v>
      </c>
      <c r="D19" s="17"/>
      <c r="E19" s="18">
        <f t="shared" ref="E19:J19" si="4">E18-D18</f>
        <v>-57384</v>
      </c>
      <c r="F19" s="18">
        <f t="shared" si="4"/>
        <v>-102811</v>
      </c>
      <c r="G19" s="18">
        <f t="shared" si="4"/>
        <v>82701</v>
      </c>
      <c r="H19" s="18">
        <f t="shared" si="4"/>
        <v>218398</v>
      </c>
      <c r="I19" s="18">
        <f t="shared" si="4"/>
        <v>-28568</v>
      </c>
      <c r="J19" s="18">
        <f t="shared" si="4"/>
        <v>79185</v>
      </c>
    </row>
    <row r="20" spans="2:11" ht="15.75" customHeight="1" x14ac:dyDescent="0.3">
      <c r="B20" s="11"/>
      <c r="D20" s="20"/>
      <c r="E20" s="20"/>
      <c r="F20" s="20"/>
      <c r="G20" s="20"/>
      <c r="H20" s="20"/>
      <c r="I20" s="20"/>
      <c r="J20" s="20"/>
    </row>
    <row r="21" spans="2:11" ht="15.75" customHeight="1" x14ac:dyDescent="0.3">
      <c r="B21" s="11"/>
    </row>
    <row r="22" spans="2:11" ht="15.75" customHeight="1" x14ac:dyDescent="0.3">
      <c r="B22" s="11"/>
    </row>
    <row r="23" spans="2:11" ht="15.75" customHeight="1" x14ac:dyDescent="0.25">
      <c r="D23" s="21"/>
      <c r="E23" s="21"/>
      <c r="F23" s="21"/>
      <c r="G23" s="21"/>
      <c r="H23" s="21"/>
      <c r="I23" s="21"/>
      <c r="J23" s="21"/>
    </row>
    <row r="24" spans="2:11" ht="15.75" customHeight="1" x14ac:dyDescent="0.25">
      <c r="D24" s="17"/>
      <c r="E24" s="17"/>
      <c r="F24" s="17"/>
      <c r="G24" s="17"/>
      <c r="H24" s="17"/>
      <c r="I24" s="17"/>
      <c r="J24" s="17"/>
    </row>
    <row r="25" spans="2:11" ht="12.5" x14ac:dyDescent="0.25">
      <c r="D25" s="17"/>
      <c r="E25" s="17"/>
      <c r="F25" s="17"/>
      <c r="G25" s="17"/>
      <c r="H25" s="17"/>
      <c r="I25" s="17"/>
      <c r="J25" s="17"/>
    </row>
    <row r="26" spans="2:11" ht="12.5" x14ac:dyDescent="0.25">
      <c r="D26" s="17"/>
      <c r="E26" s="17"/>
      <c r="F26" s="17"/>
      <c r="G26" s="17"/>
      <c r="H26" s="17"/>
      <c r="I26" s="17"/>
      <c r="J26" s="17"/>
    </row>
    <row r="27" spans="2:11" ht="12.5" x14ac:dyDescent="0.25">
      <c r="D27" s="17"/>
      <c r="E27" s="17"/>
      <c r="F27" s="17"/>
      <c r="G27" s="17"/>
      <c r="H27" s="17"/>
      <c r="I27" s="17"/>
      <c r="J27" s="17"/>
    </row>
    <row r="28" spans="2:11" ht="12.5" x14ac:dyDescent="0.25">
      <c r="D28" s="17"/>
      <c r="E28" s="17"/>
      <c r="F28" s="17"/>
      <c r="G28" s="17"/>
      <c r="H28" s="17"/>
      <c r="I28" s="17"/>
      <c r="J28" s="17"/>
    </row>
    <row r="29" spans="2:11" ht="13" x14ac:dyDescent="0.3">
      <c r="B29" s="11"/>
      <c r="C29" s="11"/>
      <c r="D29" s="18"/>
      <c r="E29" s="18"/>
      <c r="F29" s="18"/>
      <c r="G29" s="18"/>
      <c r="H29" s="18"/>
      <c r="I29" s="18"/>
      <c r="J29" s="18"/>
    </row>
    <row r="30" spans="2:11" ht="12.5" x14ac:dyDescent="0.25">
      <c r="D30" s="17"/>
      <c r="E30" s="17"/>
      <c r="F30" s="17"/>
      <c r="G30" s="17"/>
      <c r="H30" s="17"/>
      <c r="I30" s="17"/>
      <c r="J30" s="17"/>
    </row>
    <row r="31" spans="2:11" ht="12.5" x14ac:dyDescent="0.25">
      <c r="D31" s="17"/>
      <c r="E31" s="17"/>
      <c r="F31" s="17"/>
      <c r="G31" s="17"/>
      <c r="H31" s="17"/>
      <c r="I31" s="17"/>
      <c r="J31" s="17"/>
    </row>
    <row r="32" spans="2:11" ht="12.5" x14ac:dyDescent="0.25">
      <c r="D32" s="17"/>
      <c r="E32" s="17"/>
      <c r="F32" s="17"/>
      <c r="G32" s="17"/>
      <c r="H32" s="17"/>
      <c r="I32" s="17"/>
      <c r="J32" s="17"/>
    </row>
    <row r="33" spans="2:10" ht="12.5" x14ac:dyDescent="0.25">
      <c r="D33" s="17"/>
      <c r="E33" s="17"/>
      <c r="F33" s="17"/>
      <c r="G33" s="17"/>
      <c r="H33" s="17"/>
      <c r="I33" s="17"/>
      <c r="J33" s="17"/>
    </row>
    <row r="34" spans="2:10" ht="12.5" x14ac:dyDescent="0.25">
      <c r="D34" s="17"/>
      <c r="E34" s="17"/>
      <c r="F34" s="17"/>
      <c r="G34" s="17"/>
      <c r="H34" s="17"/>
      <c r="I34" s="17"/>
      <c r="J34" s="17"/>
    </row>
    <row r="35" spans="2:10" ht="12.5" x14ac:dyDescent="0.25">
      <c r="D35" s="17"/>
      <c r="E35" s="17"/>
      <c r="F35" s="17"/>
      <c r="G35" s="17"/>
      <c r="H35" s="17"/>
      <c r="I35" s="17"/>
      <c r="J35" s="17"/>
    </row>
    <row r="36" spans="2:10" ht="12.5" x14ac:dyDescent="0.25">
      <c r="D36" s="17"/>
      <c r="E36" s="17"/>
      <c r="F36" s="17"/>
      <c r="G36" s="17"/>
      <c r="H36" s="17"/>
      <c r="I36" s="17"/>
      <c r="J36" s="17"/>
    </row>
    <row r="37" spans="2:10" ht="12.5" x14ac:dyDescent="0.25">
      <c r="D37" s="17"/>
      <c r="E37" s="17"/>
      <c r="F37" s="17"/>
      <c r="G37" s="17"/>
      <c r="H37" s="17"/>
      <c r="I37" s="17"/>
      <c r="J37" s="17"/>
    </row>
    <row r="38" spans="2:10" ht="13" x14ac:dyDescent="0.3">
      <c r="B38" s="11"/>
      <c r="D38" s="18"/>
      <c r="E38" s="18"/>
      <c r="F38" s="18"/>
      <c r="G38" s="18"/>
      <c r="H38" s="18"/>
      <c r="I38" s="18"/>
      <c r="J38" s="18"/>
    </row>
    <row r="39" spans="2:10" ht="13" x14ac:dyDescent="0.3">
      <c r="B39" s="11"/>
      <c r="D39" s="18"/>
      <c r="E39" s="18"/>
      <c r="F39" s="18"/>
      <c r="G39" s="18"/>
      <c r="H39" s="18"/>
      <c r="I39" s="18"/>
      <c r="J39" s="18"/>
    </row>
    <row r="40" spans="2:10" ht="12.5" x14ac:dyDescent="0.25">
      <c r="D40" s="17"/>
      <c r="E40" s="17"/>
      <c r="F40" s="17"/>
      <c r="G40" s="17"/>
      <c r="H40" s="17"/>
      <c r="I40" s="17"/>
      <c r="J40" s="17"/>
    </row>
    <row r="41" spans="2:10" ht="12.5" x14ac:dyDescent="0.25">
      <c r="D41" s="17"/>
      <c r="E41" s="17"/>
      <c r="F41" s="17"/>
      <c r="G41" s="17"/>
      <c r="H41" s="17"/>
      <c r="I41" s="17"/>
      <c r="J41" s="17"/>
    </row>
    <row r="42" spans="2:10" ht="12.5" x14ac:dyDescent="0.25">
      <c r="D42" s="17"/>
      <c r="E42" s="17"/>
      <c r="F42" s="17"/>
      <c r="G42" s="17"/>
      <c r="H42" s="17"/>
      <c r="I42" s="17"/>
      <c r="J42" s="17"/>
    </row>
    <row r="43" spans="2:10" ht="12.5" x14ac:dyDescent="0.25">
      <c r="D43" s="17"/>
      <c r="E43" s="17"/>
      <c r="F43" s="17"/>
      <c r="G43" s="17"/>
      <c r="H43" s="17"/>
      <c r="I43" s="17"/>
      <c r="J43" s="17"/>
    </row>
    <row r="44" spans="2:10" ht="13" x14ac:dyDescent="0.3">
      <c r="B44" s="11"/>
      <c r="C44" s="11"/>
      <c r="D44" s="18"/>
      <c r="E44" s="18"/>
      <c r="F44" s="18"/>
      <c r="G44" s="18"/>
      <c r="H44" s="18"/>
      <c r="I44" s="18"/>
      <c r="J44" s="18"/>
    </row>
    <row r="46" spans="2:10" ht="12.5" x14ac:dyDescent="0.25">
      <c r="D46" s="17"/>
      <c r="E46" s="17"/>
      <c r="F46" s="17"/>
      <c r="G46" s="17"/>
      <c r="H46" s="17"/>
      <c r="I46" s="17"/>
      <c r="J46" s="17"/>
    </row>
    <row r="47" spans="2:10" ht="12.5" x14ac:dyDescent="0.25">
      <c r="D47" s="17"/>
      <c r="E47" s="17"/>
      <c r="F47" s="17"/>
      <c r="G47" s="17"/>
      <c r="H47" s="17"/>
      <c r="I47" s="17"/>
      <c r="J47" s="17"/>
    </row>
    <row r="48" spans="2:10" ht="12.5" x14ac:dyDescent="0.25">
      <c r="D48" s="17"/>
      <c r="E48" s="17"/>
      <c r="F48" s="17"/>
      <c r="G48" s="17"/>
      <c r="H48" s="17"/>
      <c r="I48" s="17"/>
      <c r="J48" s="17"/>
    </row>
    <row r="49" spans="4:10" ht="12.5" x14ac:dyDescent="0.25">
      <c r="D49" s="17"/>
      <c r="E49" s="17"/>
      <c r="F49" s="17"/>
      <c r="G49" s="17"/>
      <c r="H49" s="17"/>
      <c r="I49" s="17"/>
      <c r="J49" s="17"/>
    </row>
    <row r="50" spans="4:10" ht="12.5" x14ac:dyDescent="0.25">
      <c r="D50" s="17"/>
      <c r="E50" s="17"/>
      <c r="F50" s="17"/>
      <c r="G50" s="17"/>
      <c r="H50" s="17"/>
      <c r="I50" s="17"/>
      <c r="J50" s="17"/>
    </row>
    <row r="51" spans="4:10" ht="12.5" x14ac:dyDescent="0.25">
      <c r="D51" s="17"/>
      <c r="E51" s="17"/>
      <c r="F51" s="17"/>
      <c r="G51" s="17"/>
      <c r="H51" s="17"/>
      <c r="I51" s="17"/>
      <c r="J51" s="17"/>
    </row>
    <row r="52" spans="4:10" ht="12.5" x14ac:dyDescent="0.25">
      <c r="D52" s="17"/>
      <c r="E52" s="17"/>
      <c r="F52" s="17"/>
      <c r="G52" s="17"/>
      <c r="H52" s="17"/>
      <c r="I52" s="17"/>
      <c r="J52" s="17"/>
    </row>
    <row r="53" spans="4:10" ht="12.5" x14ac:dyDescent="0.25">
      <c r="D53" s="17"/>
      <c r="E53" s="17"/>
      <c r="F53" s="17"/>
      <c r="G53" s="17"/>
      <c r="H53" s="17"/>
      <c r="I53" s="17"/>
      <c r="J53" s="17"/>
    </row>
    <row r="54" spans="4:10" ht="12.5" x14ac:dyDescent="0.25">
      <c r="D54" s="17"/>
      <c r="E54" s="17"/>
      <c r="F54" s="17"/>
      <c r="G54" s="17"/>
      <c r="H54" s="17"/>
      <c r="I54" s="17"/>
      <c r="J54" s="17"/>
    </row>
    <row r="55" spans="4:10" ht="12.5" x14ac:dyDescent="0.25">
      <c r="D55" s="17"/>
      <c r="E55" s="17"/>
      <c r="F55" s="17"/>
      <c r="G55" s="17"/>
      <c r="H55" s="17"/>
      <c r="I55" s="17"/>
      <c r="J55" s="17"/>
    </row>
    <row r="56" spans="4:10" ht="12.5" x14ac:dyDescent="0.25">
      <c r="D56" s="17"/>
      <c r="E56" s="17"/>
      <c r="F56" s="17"/>
      <c r="G56" s="17"/>
      <c r="H56" s="17"/>
      <c r="I56" s="17"/>
      <c r="J56" s="17"/>
    </row>
    <row r="57" spans="4:10" ht="12.5" x14ac:dyDescent="0.25">
      <c r="D57" s="17"/>
      <c r="E57" s="17"/>
      <c r="F57" s="17"/>
      <c r="G57" s="17"/>
      <c r="H57" s="17"/>
      <c r="I57" s="17"/>
      <c r="J57" s="17"/>
    </row>
    <row r="58" spans="4:10" ht="12.5" x14ac:dyDescent="0.25">
      <c r="D58" s="17"/>
      <c r="E58" s="17"/>
      <c r="F58" s="17"/>
      <c r="G58" s="17"/>
      <c r="H58" s="17"/>
      <c r="I58" s="17"/>
      <c r="J58" s="17"/>
    </row>
    <row r="59" spans="4:10" ht="12.5" x14ac:dyDescent="0.25">
      <c r="D59" s="17"/>
      <c r="E59" s="17"/>
      <c r="F59" s="17"/>
      <c r="G59" s="17"/>
      <c r="H59" s="17"/>
      <c r="I59" s="17"/>
      <c r="J59" s="17"/>
    </row>
    <row r="60" spans="4:10" ht="12.5" x14ac:dyDescent="0.25">
      <c r="D60" s="17"/>
      <c r="E60" s="17"/>
      <c r="F60" s="17"/>
      <c r="G60" s="17"/>
      <c r="H60" s="17"/>
      <c r="I60" s="17"/>
      <c r="J60" s="17"/>
    </row>
    <row r="61" spans="4:10" ht="12.5" x14ac:dyDescent="0.25">
      <c r="D61" s="17"/>
      <c r="E61" s="17"/>
      <c r="F61" s="17"/>
      <c r="G61" s="17"/>
      <c r="H61" s="17"/>
      <c r="I61" s="17"/>
      <c r="J61" s="17"/>
    </row>
    <row r="62" spans="4:10" ht="12.5" x14ac:dyDescent="0.25">
      <c r="D62" s="17"/>
      <c r="E62" s="17"/>
      <c r="F62" s="17"/>
      <c r="G62" s="17"/>
      <c r="H62" s="17"/>
      <c r="I62" s="17"/>
      <c r="J62" s="17"/>
    </row>
    <row r="63" spans="4:10" ht="12.5" x14ac:dyDescent="0.25">
      <c r="D63" s="17"/>
      <c r="E63" s="17"/>
      <c r="F63" s="17"/>
      <c r="G63" s="17"/>
      <c r="H63" s="17"/>
      <c r="I63" s="17"/>
      <c r="J63" s="17"/>
    </row>
    <row r="64" spans="4:10" ht="12.5" x14ac:dyDescent="0.25">
      <c r="D64" s="17"/>
      <c r="E64" s="17"/>
      <c r="F64" s="17"/>
      <c r="G64" s="17"/>
      <c r="H64" s="17"/>
      <c r="I64" s="17"/>
      <c r="J64" s="17"/>
    </row>
    <row r="65" spans="4:10" ht="12.5" x14ac:dyDescent="0.25">
      <c r="D65" s="17"/>
      <c r="E65" s="17"/>
      <c r="F65" s="17"/>
      <c r="G65" s="17"/>
      <c r="H65" s="17"/>
      <c r="I65" s="17"/>
      <c r="J6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P64"/>
  <sheetViews>
    <sheetView showGridLines="0" topLeftCell="A15" workbookViewId="0">
      <selection activeCell="I16" sqref="I16"/>
    </sheetView>
  </sheetViews>
  <sheetFormatPr defaultColWidth="12.6328125" defaultRowHeight="15.75" customHeight="1" x14ac:dyDescent="0.25"/>
  <cols>
    <col min="1" max="1" width="4.453125" customWidth="1"/>
    <col min="2" max="2" width="44.6328125" customWidth="1"/>
  </cols>
  <sheetData>
    <row r="2" spans="1:11" ht="15.75" customHeight="1" x14ac:dyDescent="0.3">
      <c r="A2" s="16" t="s">
        <v>2</v>
      </c>
      <c r="B2" s="11" t="s">
        <v>108</v>
      </c>
    </row>
    <row r="4" spans="1:11" ht="15.75" customHeight="1" x14ac:dyDescent="0.3">
      <c r="B4" s="11" t="s">
        <v>109</v>
      </c>
    </row>
    <row r="5" spans="1:11" ht="15.75" customHeight="1" x14ac:dyDescent="0.25">
      <c r="B5" s="12" t="s">
        <v>110</v>
      </c>
      <c r="C5" s="12"/>
      <c r="D5" s="22" t="s">
        <v>111</v>
      </c>
      <c r="E5" s="22" t="s">
        <v>112</v>
      </c>
      <c r="F5" s="22" t="s">
        <v>113</v>
      </c>
      <c r="G5" s="22" t="s">
        <v>114</v>
      </c>
      <c r="H5" s="22" t="s">
        <v>115</v>
      </c>
      <c r="I5" s="22" t="s">
        <v>116</v>
      </c>
      <c r="J5" s="22" t="s">
        <v>117</v>
      </c>
      <c r="K5" s="22" t="s">
        <v>118</v>
      </c>
    </row>
    <row r="6" spans="1:11" ht="15.75" customHeight="1" x14ac:dyDescent="0.25">
      <c r="B6" s="16" t="s">
        <v>119</v>
      </c>
      <c r="D6" s="23" t="s">
        <v>120</v>
      </c>
      <c r="E6" s="24">
        <v>5439</v>
      </c>
      <c r="F6" s="24">
        <v>19956</v>
      </c>
      <c r="G6" s="25">
        <v>0.32550000000000001</v>
      </c>
      <c r="H6" s="25">
        <f t="shared" ref="H6:H17" si="0">E6/F6</f>
        <v>0.27254960914010823</v>
      </c>
      <c r="I6" s="25">
        <f>E6/SUM(E6:G6)</f>
        <v>0.2141732737389013</v>
      </c>
      <c r="J6" s="23">
        <v>0.98</v>
      </c>
      <c r="K6" s="26">
        <f t="shared" ref="K6:K17" si="1">J6/(1+(1-G6)*H6)</f>
        <v>0.8278182676955177</v>
      </c>
    </row>
    <row r="7" spans="1:11" ht="15.75" customHeight="1" x14ac:dyDescent="0.25">
      <c r="B7" s="16" t="s">
        <v>121</v>
      </c>
      <c r="D7" s="23" t="s">
        <v>122</v>
      </c>
      <c r="E7" s="24">
        <v>0</v>
      </c>
      <c r="F7" s="24">
        <v>455.5</v>
      </c>
      <c r="G7" s="25">
        <v>0.20130000000000001</v>
      </c>
      <c r="H7" s="25">
        <f t="shared" si="0"/>
        <v>0</v>
      </c>
      <c r="I7" s="25">
        <f>E7/SUM(E7:G7)</f>
        <v>0</v>
      </c>
      <c r="J7" s="23">
        <v>0.93</v>
      </c>
      <c r="K7" s="26">
        <f t="shared" si="1"/>
        <v>0.93</v>
      </c>
    </row>
    <row r="8" spans="1:11" ht="15.75" customHeight="1" x14ac:dyDescent="0.25">
      <c r="B8" s="16" t="s">
        <v>123</v>
      </c>
      <c r="D8" s="23" t="s">
        <v>124</v>
      </c>
      <c r="E8" s="24">
        <v>0.9</v>
      </c>
      <c r="F8" s="24">
        <v>683.2</v>
      </c>
      <c r="G8" s="25">
        <v>0.2772</v>
      </c>
      <c r="H8" s="25">
        <f t="shared" si="0"/>
        <v>1.3173302107728337E-3</v>
      </c>
      <c r="I8" s="25">
        <f>E8/SUM(E8:G8)</f>
        <v>1.3150642657294837E-3</v>
      </c>
      <c r="J8" s="23">
        <v>1.04</v>
      </c>
      <c r="K8" s="26">
        <f t="shared" si="1"/>
        <v>1.0390106890611124</v>
      </c>
    </row>
    <row r="9" spans="1:11" ht="15.75" customHeight="1" x14ac:dyDescent="0.25">
      <c r="B9" s="16" t="s">
        <v>125</v>
      </c>
      <c r="D9" s="23" t="s">
        <v>124</v>
      </c>
      <c r="E9" s="24">
        <v>3.4</v>
      </c>
      <c r="F9" s="24">
        <v>291.8</v>
      </c>
      <c r="G9" s="25">
        <v>0</v>
      </c>
      <c r="H9" s="25">
        <f t="shared" si="0"/>
        <v>1.1651816312542836E-2</v>
      </c>
      <c r="I9" s="25">
        <f>E9/SUM(E9:G9)</f>
        <v>1.1517615176151762E-2</v>
      </c>
      <c r="J9" s="23">
        <v>0.84</v>
      </c>
      <c r="K9" s="26">
        <f t="shared" si="1"/>
        <v>0.83032520325203252</v>
      </c>
    </row>
    <row r="10" spans="1:11" ht="15.75" customHeight="1" x14ac:dyDescent="0.25">
      <c r="B10" s="16" t="s">
        <v>126</v>
      </c>
      <c r="D10" s="23" t="s">
        <v>127</v>
      </c>
      <c r="E10" s="24">
        <v>30.7</v>
      </c>
      <c r="F10" s="24">
        <v>1118.0999999999999</v>
      </c>
      <c r="G10" s="25">
        <v>0.30549999999999999</v>
      </c>
      <c r="H10" s="25">
        <f t="shared" si="0"/>
        <v>2.7457293623110637E-2</v>
      </c>
      <c r="I10" s="25">
        <f>E10/SUM(E10:G10)</f>
        <v>2.671643291238272E-2</v>
      </c>
      <c r="J10" s="23">
        <v>-0.63</v>
      </c>
      <c r="K10" s="26">
        <f t="shared" si="1"/>
        <v>-0.61821127332944459</v>
      </c>
    </row>
    <row r="11" spans="1:11" ht="15.75" customHeight="1" x14ac:dyDescent="0.25">
      <c r="B11" s="16" t="s">
        <v>128</v>
      </c>
      <c r="D11" s="23" t="s">
        <v>129</v>
      </c>
      <c r="E11" s="24">
        <v>1783.8</v>
      </c>
      <c r="F11" s="24">
        <v>3186</v>
      </c>
      <c r="G11" s="25">
        <v>0.66659999999999997</v>
      </c>
      <c r="H11" s="25">
        <f t="shared" si="0"/>
        <v>0.5598870056497175</v>
      </c>
      <c r="I11" s="25">
        <f>E11/SUM(E11:G11)</f>
        <v>0.35887978806657711</v>
      </c>
      <c r="J11" s="23">
        <v>1.48</v>
      </c>
      <c r="K11" s="26">
        <f t="shared" si="1"/>
        <v>1.2471913675084842</v>
      </c>
    </row>
    <row r="12" spans="1:11" ht="15.75" customHeight="1" x14ac:dyDescent="0.25">
      <c r="B12" s="16" t="s">
        <v>130</v>
      </c>
      <c r="D12" s="23" t="s">
        <v>131</v>
      </c>
      <c r="E12" s="24">
        <v>34.5</v>
      </c>
      <c r="F12" s="24">
        <v>550.9</v>
      </c>
      <c r="G12" s="25">
        <v>0.2555</v>
      </c>
      <c r="H12" s="25">
        <f t="shared" si="0"/>
        <v>6.2624795788709386E-2</v>
      </c>
      <c r="I12" s="25">
        <f>E12/SUM(E12:G12)</f>
        <v>5.8908351411367264E-2</v>
      </c>
      <c r="J12" s="23">
        <v>0.72</v>
      </c>
      <c r="K12" s="26">
        <f t="shared" si="1"/>
        <v>0.68792602655028023</v>
      </c>
    </row>
    <row r="13" spans="1:11" ht="15.75" customHeight="1" x14ac:dyDescent="0.25">
      <c r="B13" s="16" t="s">
        <v>132</v>
      </c>
      <c r="D13" s="23" t="s">
        <v>133</v>
      </c>
      <c r="E13" s="24">
        <v>0.2</v>
      </c>
      <c r="F13" s="24">
        <v>1791</v>
      </c>
      <c r="G13" s="25">
        <v>0.20119999999999999</v>
      </c>
      <c r="H13" s="25">
        <f t="shared" si="0"/>
        <v>1.1166945840312675E-4</v>
      </c>
      <c r="I13" s="25">
        <f>E13/SUM(E13:G13)</f>
        <v>1.1164444904915773E-4</v>
      </c>
      <c r="J13" s="23">
        <v>1.1200000000000001</v>
      </c>
      <c r="K13" s="26">
        <f t="shared" si="1"/>
        <v>1.1199001031599773</v>
      </c>
    </row>
    <row r="14" spans="1:11" ht="15.75" customHeight="1" x14ac:dyDescent="0.25">
      <c r="B14" s="16" t="s">
        <v>134</v>
      </c>
      <c r="D14" s="23" t="s">
        <v>131</v>
      </c>
      <c r="E14" s="24">
        <v>210.9</v>
      </c>
      <c r="F14" s="24">
        <v>293.2</v>
      </c>
      <c r="G14" s="25">
        <v>0.24110000000000001</v>
      </c>
      <c r="H14" s="25">
        <f t="shared" si="0"/>
        <v>0.71930422919508874</v>
      </c>
      <c r="I14" s="25">
        <f>E14/SUM(E14:G14)</f>
        <v>0.41816936989668302</v>
      </c>
      <c r="J14" s="23">
        <v>0.86</v>
      </c>
      <c r="K14" s="26">
        <f t="shared" si="1"/>
        <v>0.55631744468160216</v>
      </c>
    </row>
    <row r="15" spans="1:11" ht="15.75" customHeight="1" x14ac:dyDescent="0.25">
      <c r="B15" s="16" t="s">
        <v>135</v>
      </c>
      <c r="D15" s="23" t="s">
        <v>136</v>
      </c>
      <c r="E15" s="24">
        <v>7801</v>
      </c>
      <c r="F15" s="24">
        <v>6897</v>
      </c>
      <c r="G15" s="25"/>
      <c r="H15" s="25">
        <f t="shared" si="0"/>
        <v>1.1310714803537769</v>
      </c>
      <c r="I15" s="25">
        <f t="shared" ref="I6:I17" si="2">E15/SUM(E15:F15)</f>
        <v>0.53075248333106551</v>
      </c>
      <c r="J15" s="23">
        <v>1.98</v>
      </c>
      <c r="K15" s="26">
        <f t="shared" si="1"/>
        <v>0.92911008300449049</v>
      </c>
    </row>
    <row r="16" spans="1:11" ht="15.75" customHeight="1" x14ac:dyDescent="0.25">
      <c r="B16" s="16" t="s">
        <v>137</v>
      </c>
      <c r="D16" s="23" t="s">
        <v>138</v>
      </c>
      <c r="E16" s="24">
        <v>126</v>
      </c>
      <c r="F16" s="24">
        <v>3974.8</v>
      </c>
      <c r="G16" s="25">
        <v>0.2767</v>
      </c>
      <c r="H16" s="25">
        <f t="shared" si="0"/>
        <v>3.1699708161416928E-2</v>
      </c>
      <c r="I16" s="25">
        <f>E16/SUM(E16:G16)</f>
        <v>3.0723638989731645E-2</v>
      </c>
      <c r="J16" s="23">
        <v>1.07</v>
      </c>
      <c r="K16" s="26">
        <f t="shared" si="1"/>
        <v>1.0460165160502535</v>
      </c>
    </row>
    <row r="17" spans="2:11" ht="15.75" customHeight="1" x14ac:dyDescent="0.25">
      <c r="B17" s="16" t="s">
        <v>139</v>
      </c>
      <c r="D17" s="23" t="s">
        <v>140</v>
      </c>
      <c r="E17" s="24">
        <v>5.0999999999999996</v>
      </c>
      <c r="F17" s="24">
        <v>923.7</v>
      </c>
      <c r="G17" s="25"/>
      <c r="H17" s="25">
        <f t="shared" si="0"/>
        <v>5.5212731406300737E-3</v>
      </c>
      <c r="I17" s="25">
        <f t="shared" si="2"/>
        <v>5.4909560723514208E-3</v>
      </c>
      <c r="J17" s="23">
        <v>1.1399999999999999</v>
      </c>
      <c r="K17" s="26">
        <f t="shared" si="1"/>
        <v>1.1337403100775194</v>
      </c>
    </row>
    <row r="18" spans="2:11" ht="15.75" customHeight="1" x14ac:dyDescent="0.25">
      <c r="E18" s="17"/>
      <c r="G18" s="27"/>
      <c r="H18" s="27"/>
      <c r="I18" s="27"/>
    </row>
    <row r="19" spans="2:11" ht="15.75" customHeight="1" x14ac:dyDescent="0.3">
      <c r="B19" s="11" t="s">
        <v>141</v>
      </c>
      <c r="C19" s="11"/>
      <c r="D19" s="11"/>
      <c r="E19" s="11"/>
      <c r="F19" s="11"/>
      <c r="G19" s="28">
        <f t="shared" ref="G19:K19" si="3">AVERAGE(G6:G17)</f>
        <v>0.27505999999999997</v>
      </c>
      <c r="H19" s="28">
        <f t="shared" si="3"/>
        <v>0.23526635091952308</v>
      </c>
      <c r="I19" s="28">
        <f t="shared" si="3"/>
        <v>0.1380632181924992</v>
      </c>
      <c r="J19" s="29">
        <f t="shared" si="3"/>
        <v>0.96083333333333343</v>
      </c>
      <c r="K19" s="29">
        <f t="shared" si="3"/>
        <v>0.81076206147598529</v>
      </c>
    </row>
    <row r="20" spans="2:11" ht="15.75" customHeight="1" x14ac:dyDescent="0.3">
      <c r="B20" s="11" t="s">
        <v>142</v>
      </c>
      <c r="C20" s="11"/>
      <c r="D20" s="11"/>
      <c r="E20" s="11"/>
      <c r="F20" s="11"/>
      <c r="G20" s="28">
        <f t="shared" ref="G20:K20" si="4">MEDIAN(G6:G17)</f>
        <v>0.2661</v>
      </c>
      <c r="H20" s="28">
        <f t="shared" si="4"/>
        <v>2.9578500892263784E-2</v>
      </c>
      <c r="I20" s="28">
        <f t="shared" si="4"/>
        <v>2.8720035951057182E-2</v>
      </c>
      <c r="J20" s="11">
        <f t="shared" si="4"/>
        <v>1.01</v>
      </c>
      <c r="K20" s="29">
        <f t="shared" si="4"/>
        <v>0.92955504150224533</v>
      </c>
    </row>
    <row r="23" spans="2:11" ht="13" x14ac:dyDescent="0.3">
      <c r="B23" s="30" t="s">
        <v>143</v>
      </c>
      <c r="C23" s="31"/>
      <c r="D23" s="31"/>
      <c r="E23" s="12"/>
      <c r="G23" s="32" t="s">
        <v>144</v>
      </c>
      <c r="H23" s="12"/>
      <c r="I23" s="12"/>
      <c r="J23" s="12"/>
      <c r="K23" s="12"/>
    </row>
    <row r="25" spans="2:11" ht="12.5" x14ac:dyDescent="0.25">
      <c r="B25" s="16" t="s">
        <v>145</v>
      </c>
      <c r="E25" s="33">
        <f>AVERAGE(Financing!H13:J13)</f>
        <v>4.2219667723632885E-2</v>
      </c>
      <c r="G25" s="16" t="s">
        <v>146</v>
      </c>
      <c r="K25" s="33">
        <v>3.2000000000000001E-2</v>
      </c>
    </row>
    <row r="26" spans="2:11" ht="12.5" x14ac:dyDescent="0.25">
      <c r="B26" s="16" t="s">
        <v>16</v>
      </c>
      <c r="E26" s="27">
        <f>-Historicals!J16/Historicals!J15</f>
        <v>0.46427830599629638</v>
      </c>
      <c r="G26" s="16" t="s">
        <v>147</v>
      </c>
      <c r="K26" s="34">
        <f>K36</f>
        <v>1.1976996269270808</v>
      </c>
    </row>
    <row r="27" spans="2:11" ht="13" x14ac:dyDescent="0.3">
      <c r="B27" s="11" t="s">
        <v>143</v>
      </c>
      <c r="E27" s="28">
        <f>E25*(1-E26)</f>
        <v>2.26179919131781E-2</v>
      </c>
      <c r="G27" s="16" t="s">
        <v>148</v>
      </c>
      <c r="K27" s="35">
        <f>'Market Return'!G8-0.0445</f>
        <v>3.8227391023614068E-2</v>
      </c>
    </row>
    <row r="28" spans="2:11" ht="13" x14ac:dyDescent="0.3">
      <c r="G28" s="11" t="s">
        <v>144</v>
      </c>
      <c r="K28" s="28">
        <f>K25+(K26*K27)</f>
        <v>7.7784931967378207E-2</v>
      </c>
    </row>
    <row r="30" spans="2:11" ht="13" x14ac:dyDescent="0.3">
      <c r="F30" s="11"/>
    </row>
    <row r="31" spans="2:11" ht="13" x14ac:dyDescent="0.3">
      <c r="B31" s="30" t="s">
        <v>149</v>
      </c>
      <c r="C31" s="31"/>
      <c r="D31" s="31"/>
      <c r="E31" s="31"/>
      <c r="G31" s="32" t="s">
        <v>117</v>
      </c>
      <c r="H31" s="12"/>
      <c r="I31" s="12"/>
      <c r="J31" s="12"/>
      <c r="K31" s="12"/>
    </row>
    <row r="33" spans="2:16" ht="12.5" x14ac:dyDescent="0.25">
      <c r="D33" s="23" t="s">
        <v>150</v>
      </c>
      <c r="E33" s="23" t="s">
        <v>151</v>
      </c>
      <c r="G33" s="16" t="s">
        <v>152</v>
      </c>
      <c r="K33" s="34">
        <f>K20</f>
        <v>0.92955504150224533</v>
      </c>
    </row>
    <row r="34" spans="2:16" ht="12.5" x14ac:dyDescent="0.25">
      <c r="B34" s="16" t="s">
        <v>112</v>
      </c>
      <c r="C34" s="17">
        <f>Historicals!J46+Historicals!J41</f>
        <v>707301</v>
      </c>
      <c r="D34" s="27">
        <f>C34/C36</f>
        <v>0.3300981612442998</v>
      </c>
      <c r="E34" s="35">
        <v>0.35</v>
      </c>
      <c r="G34" s="16" t="s">
        <v>153</v>
      </c>
      <c r="K34" s="27">
        <f>E38</f>
        <v>0.53846153846153844</v>
      </c>
    </row>
    <row r="35" spans="2:16" ht="12.5" x14ac:dyDescent="0.25">
      <c r="B35" s="16" t="s">
        <v>113</v>
      </c>
      <c r="C35" s="17">
        <f>Historicals!J65</f>
        <v>1435398</v>
      </c>
      <c r="D35" s="27">
        <f>C35/C36</f>
        <v>0.6699018387557002</v>
      </c>
      <c r="E35" s="27">
        <f>1-E34</f>
        <v>0.65</v>
      </c>
      <c r="G35" s="16" t="s">
        <v>114</v>
      </c>
      <c r="K35" s="27">
        <f>E26</f>
        <v>0.46427830599629638</v>
      </c>
    </row>
    <row r="36" spans="2:16" ht="12.5" x14ac:dyDescent="0.25">
      <c r="B36" s="16" t="s">
        <v>154</v>
      </c>
      <c r="C36" s="17">
        <f t="shared" ref="C36:E36" si="5">SUM(C34:C35)</f>
        <v>2142699</v>
      </c>
      <c r="D36" s="27">
        <f t="shared" si="5"/>
        <v>1</v>
      </c>
      <c r="E36" s="27">
        <f t="shared" si="5"/>
        <v>1</v>
      </c>
      <c r="G36" s="16" t="s">
        <v>117</v>
      </c>
      <c r="K36" s="34">
        <f>K33*(1+(1-K35)*K34)</f>
        <v>1.1976996269270808</v>
      </c>
    </row>
    <row r="38" spans="2:16" ht="12.5" x14ac:dyDescent="0.25">
      <c r="B38" s="16" t="s">
        <v>115</v>
      </c>
      <c r="D38" s="27">
        <f>C34/C35</f>
        <v>0.49275601610145758</v>
      </c>
      <c r="E38" s="27">
        <f>E34/E35</f>
        <v>0.53846153846153844</v>
      </c>
    </row>
    <row r="40" spans="2:16" ht="12.5" x14ac:dyDescent="0.25">
      <c r="N40" s="36"/>
      <c r="P40" s="15"/>
    </row>
    <row r="41" spans="2:16" ht="13" x14ac:dyDescent="0.3">
      <c r="G41" s="32" t="s">
        <v>155</v>
      </c>
      <c r="H41" s="12"/>
      <c r="I41" s="12"/>
      <c r="J41" s="12"/>
      <c r="K41" s="12"/>
    </row>
    <row r="43" spans="2:16" ht="12.5" x14ac:dyDescent="0.25">
      <c r="J43" s="23" t="s">
        <v>156</v>
      </c>
      <c r="K43" s="23" t="s">
        <v>157</v>
      </c>
    </row>
    <row r="44" spans="2:16" ht="12.5" x14ac:dyDescent="0.25">
      <c r="G44" s="16" t="s">
        <v>158</v>
      </c>
      <c r="J44" s="27">
        <f>E27</f>
        <v>2.26179919131781E-2</v>
      </c>
      <c r="K44" s="27">
        <f t="shared" ref="K44:K45" si="6">E34</f>
        <v>0.35</v>
      </c>
    </row>
    <row r="45" spans="2:16" ht="12.5" x14ac:dyDescent="0.25">
      <c r="G45" s="16" t="s">
        <v>159</v>
      </c>
      <c r="J45" s="27">
        <f>K28</f>
        <v>7.7784931967378207E-2</v>
      </c>
      <c r="K45" s="27">
        <f t="shared" si="6"/>
        <v>0.65</v>
      </c>
    </row>
    <row r="46" spans="2:16" ht="13" x14ac:dyDescent="0.3">
      <c r="G46" s="11" t="s">
        <v>155</v>
      </c>
      <c r="J46" s="28">
        <f>J44*K44+(J45*K45)</f>
        <v>5.8476502948408171E-2</v>
      </c>
    </row>
    <row r="49" spans="1:11" ht="13" x14ac:dyDescent="0.3">
      <c r="A49" s="16" t="s">
        <v>2</v>
      </c>
      <c r="B49" s="11" t="s">
        <v>160</v>
      </c>
    </row>
    <row r="51" spans="1:11" ht="13" x14ac:dyDescent="0.3">
      <c r="B51" s="32" t="s">
        <v>143</v>
      </c>
      <c r="C51" s="37"/>
      <c r="D51" s="12"/>
      <c r="E51" s="12"/>
      <c r="G51" s="32" t="s">
        <v>144</v>
      </c>
      <c r="H51" s="12"/>
      <c r="I51" s="12"/>
      <c r="J51" s="12"/>
      <c r="K51" s="12"/>
    </row>
    <row r="53" spans="1:11" ht="12.5" x14ac:dyDescent="0.25">
      <c r="B53" s="16" t="s">
        <v>145</v>
      </c>
      <c r="C53" s="38"/>
      <c r="E53" s="15">
        <f t="shared" ref="E53:E54" si="7">E25</f>
        <v>4.2219667723632885E-2</v>
      </c>
      <c r="G53" s="16" t="s">
        <v>161</v>
      </c>
      <c r="K53" s="15">
        <f>K25</f>
        <v>3.2000000000000001E-2</v>
      </c>
    </row>
    <row r="54" spans="1:11" ht="12.5" x14ac:dyDescent="0.25">
      <c r="B54" s="16" t="s">
        <v>114</v>
      </c>
      <c r="C54" s="38"/>
      <c r="E54" s="15">
        <f t="shared" si="7"/>
        <v>0.46427830599629638</v>
      </c>
      <c r="G54" s="16" t="s">
        <v>162</v>
      </c>
      <c r="K54" s="15">
        <f>K27</f>
        <v>3.8227391023614068E-2</v>
      </c>
    </row>
    <row r="55" spans="1:11" ht="13" x14ac:dyDescent="0.3">
      <c r="B55" s="11" t="s">
        <v>143</v>
      </c>
      <c r="C55" s="39"/>
      <c r="D55" s="11"/>
      <c r="E55" s="39">
        <f>E53*(1-E54)</f>
        <v>2.26179919131781E-2</v>
      </c>
      <c r="G55" s="16" t="s">
        <v>117</v>
      </c>
      <c r="K55" s="34">
        <f>Beta!K12</f>
        <v>0.92940315345927127</v>
      </c>
    </row>
    <row r="56" spans="1:11" ht="13" x14ac:dyDescent="0.3">
      <c r="G56" s="11" t="s">
        <v>144</v>
      </c>
      <c r="H56" s="11"/>
      <c r="I56" s="11"/>
      <c r="J56" s="11"/>
      <c r="K56" s="28">
        <f>K53+(K54*K55)</f>
        <v>6.7528657765867556E-2</v>
      </c>
    </row>
    <row r="59" spans="1:11" ht="13" x14ac:dyDescent="0.3">
      <c r="G59" s="32" t="s">
        <v>155</v>
      </c>
      <c r="H59" s="12"/>
      <c r="I59" s="12"/>
      <c r="J59" s="12"/>
      <c r="K59" s="12"/>
    </row>
    <row r="61" spans="1:11" ht="12.5" x14ac:dyDescent="0.25">
      <c r="J61" s="16" t="s">
        <v>163</v>
      </c>
      <c r="K61" s="16" t="s">
        <v>164</v>
      </c>
    </row>
    <row r="62" spans="1:11" ht="13" x14ac:dyDescent="0.3">
      <c r="E62" s="11"/>
      <c r="G62" s="16" t="s">
        <v>158</v>
      </c>
      <c r="J62" s="15">
        <f>E55</f>
        <v>2.26179919131781E-2</v>
      </c>
      <c r="K62" s="15">
        <f t="shared" ref="K62:K63" si="8">E34</f>
        <v>0.35</v>
      </c>
    </row>
    <row r="63" spans="1:11" ht="12.5" x14ac:dyDescent="0.25">
      <c r="G63" s="16" t="s">
        <v>159</v>
      </c>
      <c r="J63" s="15">
        <f>K56</f>
        <v>6.7528657765867556E-2</v>
      </c>
      <c r="K63" s="15">
        <f t="shared" si="8"/>
        <v>0.65</v>
      </c>
    </row>
    <row r="64" spans="1:11" ht="13" x14ac:dyDescent="0.3">
      <c r="G64" s="11" t="s">
        <v>155</v>
      </c>
      <c r="H64" s="11"/>
      <c r="I64" s="11"/>
      <c r="J64" s="40">
        <f>J62*K62+(J63*K63)</f>
        <v>5.1809924717426244E-2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K67"/>
  <sheetViews>
    <sheetView showGridLines="0" workbookViewId="0"/>
  </sheetViews>
  <sheetFormatPr defaultColWidth="12.6328125" defaultRowHeight="15.75" customHeight="1" x14ac:dyDescent="0.25"/>
  <cols>
    <col min="1" max="1" width="4.453125" customWidth="1"/>
    <col min="10" max="10" width="15.6328125" customWidth="1"/>
  </cols>
  <sheetData>
    <row r="2" spans="2:11" ht="15.75" customHeight="1" x14ac:dyDescent="0.3">
      <c r="B2" s="11" t="s">
        <v>165</v>
      </c>
    </row>
    <row r="4" spans="2:11" ht="15.75" customHeight="1" x14ac:dyDescent="0.3">
      <c r="B4" s="70" t="s">
        <v>166</v>
      </c>
      <c r="C4" s="71"/>
      <c r="D4" s="71"/>
      <c r="F4" s="70" t="s">
        <v>167</v>
      </c>
      <c r="G4" s="71"/>
      <c r="H4" s="71"/>
      <c r="J4" s="72" t="s">
        <v>168</v>
      </c>
      <c r="K4" s="71"/>
    </row>
    <row r="5" spans="2:11" ht="15.75" customHeight="1" x14ac:dyDescent="0.25">
      <c r="B5" s="16"/>
      <c r="C5" s="16"/>
    </row>
    <row r="6" spans="2:11" ht="15.75" customHeight="1" x14ac:dyDescent="0.3">
      <c r="B6" s="41" t="s">
        <v>169</v>
      </c>
      <c r="C6" s="42" t="s">
        <v>170</v>
      </c>
      <c r="D6" s="42" t="s">
        <v>171</v>
      </c>
      <c r="F6" s="41" t="s">
        <v>169</v>
      </c>
      <c r="G6" s="42" t="s">
        <v>170</v>
      </c>
      <c r="H6" s="42" t="s">
        <v>171</v>
      </c>
      <c r="J6" s="16" t="s">
        <v>172</v>
      </c>
      <c r="K6" s="43">
        <f>SLOPE(D8:D67,H8:H67)</f>
        <v>0.90587087127902832</v>
      </c>
    </row>
    <row r="7" spans="2:11" ht="15.75" customHeight="1" x14ac:dyDescent="0.25">
      <c r="B7" s="44">
        <v>44165</v>
      </c>
      <c r="C7" s="45">
        <v>4.51</v>
      </c>
      <c r="D7" s="23"/>
      <c r="F7" s="44">
        <v>44165</v>
      </c>
      <c r="G7" s="45">
        <v>6517.81</v>
      </c>
      <c r="H7" s="23"/>
      <c r="J7" s="16" t="s">
        <v>173</v>
      </c>
      <c r="K7" s="46">
        <v>0.75</v>
      </c>
    </row>
    <row r="8" spans="2:11" ht="15.75" customHeight="1" x14ac:dyDescent="0.25">
      <c r="B8" s="44">
        <v>44196</v>
      </c>
      <c r="C8" s="45">
        <v>4.75</v>
      </c>
      <c r="D8" s="47">
        <f t="shared" ref="D8:D67" si="0">C8/C7-1</f>
        <v>5.3215077605321515E-2</v>
      </c>
      <c r="F8" s="44">
        <v>44196</v>
      </c>
      <c r="G8" s="45">
        <v>6587.1</v>
      </c>
      <c r="H8" s="47">
        <f t="shared" ref="H8:H67" si="1">G8/G7-1</f>
        <v>1.0630871412330212E-2</v>
      </c>
    </row>
    <row r="9" spans="2:11" ht="15.75" customHeight="1" x14ac:dyDescent="0.25">
      <c r="B9" s="44">
        <v>44227</v>
      </c>
      <c r="C9" s="45">
        <v>5.1100000000000003</v>
      </c>
      <c r="D9" s="47">
        <f t="shared" si="0"/>
        <v>7.5789473684210629E-2</v>
      </c>
      <c r="F9" s="44">
        <v>44227</v>
      </c>
      <c r="G9" s="45">
        <v>6607.36</v>
      </c>
      <c r="H9" s="47">
        <f t="shared" si="1"/>
        <v>3.075708581925074E-3</v>
      </c>
      <c r="J9" s="16" t="s">
        <v>174</v>
      </c>
      <c r="K9" s="48">
        <v>1</v>
      </c>
    </row>
    <row r="10" spans="2:11" ht="15.75" customHeight="1" x14ac:dyDescent="0.25">
      <c r="B10" s="44">
        <v>44255</v>
      </c>
      <c r="C10" s="45">
        <v>5.43</v>
      </c>
      <c r="D10" s="47">
        <f t="shared" si="0"/>
        <v>6.2622309197651438E-2</v>
      </c>
      <c r="F10" s="44">
        <v>44255</v>
      </c>
      <c r="G10" s="45">
        <v>6673.27</v>
      </c>
      <c r="H10" s="47">
        <f t="shared" si="1"/>
        <v>9.9752397326617892E-3</v>
      </c>
      <c r="J10" s="16" t="s">
        <v>175</v>
      </c>
      <c r="K10" s="46">
        <v>0.25</v>
      </c>
    </row>
    <row r="11" spans="2:11" ht="15.75" customHeight="1" x14ac:dyDescent="0.25">
      <c r="B11" s="44">
        <v>44286</v>
      </c>
      <c r="C11" s="45">
        <v>5.48</v>
      </c>
      <c r="D11" s="47">
        <f t="shared" si="0"/>
        <v>9.208103130755152E-3</v>
      </c>
      <c r="F11" s="44">
        <v>44286</v>
      </c>
      <c r="G11" s="45">
        <v>6790.67</v>
      </c>
      <c r="H11" s="47">
        <f t="shared" si="1"/>
        <v>1.7592574554903262E-2</v>
      </c>
    </row>
    <row r="12" spans="2:11" ht="15.75" customHeight="1" x14ac:dyDescent="0.3">
      <c r="B12" s="44">
        <v>44316</v>
      </c>
      <c r="C12" s="45">
        <v>6.81</v>
      </c>
      <c r="D12" s="47">
        <f t="shared" si="0"/>
        <v>0.2427007299270072</v>
      </c>
      <c r="F12" s="44">
        <v>44316</v>
      </c>
      <c r="G12" s="45">
        <v>7025.82</v>
      </c>
      <c r="H12" s="47">
        <f t="shared" si="1"/>
        <v>3.4628394547224328E-2</v>
      </c>
      <c r="J12" s="11" t="s">
        <v>176</v>
      </c>
      <c r="K12" s="29">
        <f>K6*K7+(K9*K10)</f>
        <v>0.92940315345927127</v>
      </c>
    </row>
    <row r="13" spans="2:11" ht="15.75" customHeight="1" x14ac:dyDescent="0.25">
      <c r="B13" s="44">
        <v>44347</v>
      </c>
      <c r="C13" s="45">
        <v>6.56</v>
      </c>
      <c r="D13" s="47">
        <f t="shared" si="0"/>
        <v>-3.6710719530102742E-2</v>
      </c>
      <c r="F13" s="44">
        <v>44347</v>
      </c>
      <c r="G13" s="45">
        <v>7161.63</v>
      </c>
      <c r="H13" s="47">
        <f t="shared" si="1"/>
        <v>1.9330128013527403E-2</v>
      </c>
    </row>
    <row r="14" spans="2:11" ht="15.75" customHeight="1" x14ac:dyDescent="0.25">
      <c r="B14" s="44">
        <v>44377</v>
      </c>
      <c r="C14" s="45">
        <v>6.38</v>
      </c>
      <c r="D14" s="47">
        <f t="shared" si="0"/>
        <v>-2.7439024390243816E-2</v>
      </c>
      <c r="F14" s="44">
        <v>44377</v>
      </c>
      <c r="G14" s="45">
        <v>7313.02</v>
      </c>
      <c r="H14" s="47">
        <f t="shared" si="1"/>
        <v>2.1139042368846228E-2</v>
      </c>
    </row>
    <row r="15" spans="2:11" ht="15.75" customHeight="1" x14ac:dyDescent="0.25">
      <c r="B15" s="44">
        <v>44408</v>
      </c>
      <c r="C15" s="45">
        <v>7.6</v>
      </c>
      <c r="D15" s="47">
        <f t="shared" si="0"/>
        <v>0.19122257053291536</v>
      </c>
      <c r="F15" s="44">
        <v>44408</v>
      </c>
      <c r="G15" s="45">
        <v>7392.62</v>
      </c>
      <c r="H15" s="47">
        <f t="shared" si="1"/>
        <v>1.0884696062638977E-2</v>
      </c>
    </row>
    <row r="16" spans="2:11" ht="15.75" customHeight="1" x14ac:dyDescent="0.25">
      <c r="B16" s="44">
        <v>44439</v>
      </c>
      <c r="C16" s="45">
        <v>5.89</v>
      </c>
      <c r="D16" s="47">
        <f t="shared" si="0"/>
        <v>-0.22499999999999998</v>
      </c>
      <c r="F16" s="44">
        <v>44439</v>
      </c>
      <c r="G16" s="45">
        <v>7534.9</v>
      </c>
      <c r="H16" s="47">
        <f t="shared" si="1"/>
        <v>1.9246221231444371E-2</v>
      </c>
    </row>
    <row r="17" spans="2:8" ht="15.75" customHeight="1" x14ac:dyDescent="0.25">
      <c r="B17" s="44">
        <v>44469</v>
      </c>
      <c r="C17" s="45">
        <v>4.83</v>
      </c>
      <c r="D17" s="47">
        <f t="shared" si="0"/>
        <v>-0.17996604414261452</v>
      </c>
      <c r="F17" s="44">
        <v>44469</v>
      </c>
      <c r="G17" s="45">
        <v>7332.16</v>
      </c>
      <c r="H17" s="47">
        <f t="shared" si="1"/>
        <v>-2.6906793719890132E-2</v>
      </c>
    </row>
    <row r="18" spans="2:8" ht="15.75" customHeight="1" x14ac:dyDescent="0.25">
      <c r="B18" s="44">
        <v>44500</v>
      </c>
      <c r="C18" s="45">
        <v>4.4000000000000004</v>
      </c>
      <c r="D18" s="47">
        <f t="shared" si="0"/>
        <v>-8.9026915113871619E-2</v>
      </c>
      <c r="F18" s="44">
        <v>44500</v>
      </c>
      <c r="G18" s="45">
        <v>7323.74</v>
      </c>
      <c r="H18" s="47">
        <f t="shared" si="1"/>
        <v>-1.1483655566708606E-3</v>
      </c>
    </row>
    <row r="19" spans="2:8" ht="15.75" customHeight="1" x14ac:dyDescent="0.25">
      <c r="B19" s="44">
        <v>44530</v>
      </c>
      <c r="C19" s="45">
        <v>4.49</v>
      </c>
      <c r="D19" s="47">
        <f t="shared" si="0"/>
        <v>2.0454545454545503E-2</v>
      </c>
      <c r="F19" s="44">
        <v>44530</v>
      </c>
      <c r="G19" s="45">
        <v>7255.97</v>
      </c>
      <c r="H19" s="47">
        <f t="shared" si="1"/>
        <v>-9.2534688560762524E-3</v>
      </c>
    </row>
    <row r="20" spans="2:8" ht="15.75" customHeight="1" x14ac:dyDescent="0.25">
      <c r="B20" s="44">
        <v>44561</v>
      </c>
      <c r="C20" s="45">
        <v>5.44</v>
      </c>
      <c r="D20" s="47">
        <f t="shared" si="0"/>
        <v>0.2115812917594655</v>
      </c>
      <c r="F20" s="44">
        <v>44561</v>
      </c>
      <c r="G20" s="45">
        <v>7444.64</v>
      </c>
      <c r="H20" s="47">
        <f t="shared" si="1"/>
        <v>2.600203694337222E-2</v>
      </c>
    </row>
    <row r="21" spans="2:8" ht="12.5" x14ac:dyDescent="0.25">
      <c r="B21" s="44">
        <v>44592</v>
      </c>
      <c r="C21" s="45">
        <v>6.45</v>
      </c>
      <c r="D21" s="47">
        <f t="shared" si="0"/>
        <v>0.18566176470588225</v>
      </c>
      <c r="F21" s="44">
        <v>44592</v>
      </c>
      <c r="G21" s="45">
        <v>6971.63</v>
      </c>
      <c r="H21" s="47">
        <f t="shared" si="1"/>
        <v>-6.3536987685099633E-2</v>
      </c>
    </row>
    <row r="22" spans="2:8" ht="12.5" x14ac:dyDescent="0.25">
      <c r="B22" s="44">
        <v>44620</v>
      </c>
      <c r="C22" s="45">
        <v>6.44</v>
      </c>
      <c r="D22" s="47">
        <f t="shared" si="0"/>
        <v>-1.5503875968991832E-3</v>
      </c>
      <c r="F22" s="44">
        <v>44620</v>
      </c>
      <c r="G22" s="45">
        <v>7049.12</v>
      </c>
      <c r="H22" s="47">
        <f t="shared" si="1"/>
        <v>1.1115047700466008E-2</v>
      </c>
    </row>
    <row r="23" spans="2:8" ht="12.5" x14ac:dyDescent="0.25">
      <c r="B23" s="44">
        <v>44651</v>
      </c>
      <c r="C23" s="45">
        <v>7.81</v>
      </c>
      <c r="D23" s="47">
        <f t="shared" si="0"/>
        <v>0.21273291925465831</v>
      </c>
      <c r="F23" s="44">
        <v>44651</v>
      </c>
      <c r="G23" s="45">
        <v>7499.59</v>
      </c>
      <c r="H23" s="47">
        <f t="shared" si="1"/>
        <v>6.3904430623964448E-2</v>
      </c>
    </row>
    <row r="24" spans="2:8" ht="12.5" x14ac:dyDescent="0.25">
      <c r="B24" s="44">
        <v>44681</v>
      </c>
      <c r="C24" s="45">
        <v>7.32</v>
      </c>
      <c r="D24" s="47">
        <f t="shared" si="0"/>
        <v>-6.2740076824583824E-2</v>
      </c>
      <c r="F24" s="44">
        <v>44681</v>
      </c>
      <c r="G24" s="45">
        <v>7435.01</v>
      </c>
      <c r="H24" s="47">
        <f t="shared" si="1"/>
        <v>-8.6111374088450043E-3</v>
      </c>
    </row>
    <row r="25" spans="2:8" ht="12.5" x14ac:dyDescent="0.25">
      <c r="B25" s="44">
        <v>44712</v>
      </c>
      <c r="C25" s="45">
        <v>7.6</v>
      </c>
      <c r="D25" s="47">
        <f t="shared" si="0"/>
        <v>3.82513661202184E-2</v>
      </c>
      <c r="F25" s="44">
        <v>44712</v>
      </c>
      <c r="G25" s="45">
        <v>7211.17</v>
      </c>
      <c r="H25" s="47">
        <f t="shared" si="1"/>
        <v>-3.0106213710539786E-2</v>
      </c>
    </row>
    <row r="26" spans="2:8" ht="12.5" x14ac:dyDescent="0.25">
      <c r="B26" s="44">
        <v>44742</v>
      </c>
      <c r="C26" s="45">
        <v>5.39</v>
      </c>
      <c r="D26" s="47">
        <f t="shared" si="0"/>
        <v>-0.29078947368421049</v>
      </c>
      <c r="F26" s="44">
        <v>44742</v>
      </c>
      <c r="G26" s="45">
        <v>6568.06</v>
      </c>
      <c r="H26" s="47">
        <f t="shared" si="1"/>
        <v>-8.9182476630005891E-2</v>
      </c>
    </row>
    <row r="27" spans="2:8" ht="12.5" x14ac:dyDescent="0.25">
      <c r="B27" s="44">
        <v>44773</v>
      </c>
      <c r="C27" s="45">
        <v>4.8</v>
      </c>
      <c r="D27" s="47">
        <f t="shared" si="0"/>
        <v>-0.10946196660482377</v>
      </c>
      <c r="F27" s="44">
        <v>44773</v>
      </c>
      <c r="G27" s="45">
        <v>6945.15</v>
      </c>
      <c r="H27" s="47">
        <f t="shared" si="1"/>
        <v>5.7412691114271164E-2</v>
      </c>
    </row>
    <row r="28" spans="2:8" ht="12.5" x14ac:dyDescent="0.25">
      <c r="B28" s="44">
        <v>44804</v>
      </c>
      <c r="C28" s="45">
        <v>5.19</v>
      </c>
      <c r="D28" s="47">
        <f t="shared" si="0"/>
        <v>8.1250000000000044E-2</v>
      </c>
      <c r="F28" s="44">
        <v>44804</v>
      </c>
      <c r="G28" s="45">
        <v>6986.76</v>
      </c>
      <c r="H28" s="47">
        <f t="shared" si="1"/>
        <v>5.9912312909009557E-3</v>
      </c>
    </row>
    <row r="29" spans="2:8" ht="12.5" x14ac:dyDescent="0.25">
      <c r="B29" s="44">
        <v>44834</v>
      </c>
      <c r="C29" s="45">
        <v>4.83</v>
      </c>
      <c r="D29" s="47">
        <f t="shared" si="0"/>
        <v>-6.9364161849711059E-2</v>
      </c>
      <c r="F29" s="44">
        <v>44834</v>
      </c>
      <c r="G29" s="45">
        <v>6474.2</v>
      </c>
      <c r="H29" s="47">
        <f t="shared" si="1"/>
        <v>-7.3361615398267688E-2</v>
      </c>
    </row>
    <row r="30" spans="2:8" ht="12.5" x14ac:dyDescent="0.25">
      <c r="B30" s="44">
        <v>44865</v>
      </c>
      <c r="C30" s="45">
        <v>4.68</v>
      </c>
      <c r="D30" s="47">
        <f t="shared" si="0"/>
        <v>-3.1055900621118071E-2</v>
      </c>
      <c r="F30" s="44">
        <v>44865</v>
      </c>
      <c r="G30" s="45">
        <v>6863.46</v>
      </c>
      <c r="H30" s="47">
        <f t="shared" si="1"/>
        <v>6.0124803064471211E-2</v>
      </c>
    </row>
    <row r="31" spans="2:8" ht="12.5" x14ac:dyDescent="0.25">
      <c r="B31" s="44">
        <v>44895</v>
      </c>
      <c r="C31" s="45">
        <v>6.36</v>
      </c>
      <c r="D31" s="47">
        <f t="shared" si="0"/>
        <v>0.35897435897435903</v>
      </c>
      <c r="F31" s="44">
        <v>44895</v>
      </c>
      <c r="G31" s="45">
        <v>7284.17</v>
      </c>
      <c r="H31" s="47">
        <f t="shared" si="1"/>
        <v>6.1297071739326858E-2</v>
      </c>
    </row>
    <row r="32" spans="2:8" ht="12.5" x14ac:dyDescent="0.25">
      <c r="B32" s="44">
        <v>44926</v>
      </c>
      <c r="C32" s="45">
        <v>7.31</v>
      </c>
      <c r="D32" s="47">
        <f t="shared" si="0"/>
        <v>0.14937106918238974</v>
      </c>
      <c r="F32" s="44">
        <v>44926</v>
      </c>
      <c r="G32" s="45">
        <v>7038.69</v>
      </c>
      <c r="H32" s="47">
        <f t="shared" si="1"/>
        <v>-3.3700476512766753E-2</v>
      </c>
    </row>
    <row r="33" spans="2:8" ht="12.5" x14ac:dyDescent="0.25">
      <c r="B33" s="44">
        <v>44957</v>
      </c>
      <c r="C33" s="45">
        <v>7.15</v>
      </c>
      <c r="D33" s="47">
        <f t="shared" si="0"/>
        <v>-2.1887824897400709E-2</v>
      </c>
      <c r="F33" s="44">
        <v>44957</v>
      </c>
      <c r="G33" s="45">
        <v>7476.66</v>
      </c>
      <c r="H33" s="47">
        <f t="shared" si="1"/>
        <v>6.2223226196920223E-2</v>
      </c>
    </row>
    <row r="34" spans="2:8" ht="12.5" x14ac:dyDescent="0.25">
      <c r="B34" s="44">
        <v>44985</v>
      </c>
      <c r="C34" s="45">
        <v>7.37</v>
      </c>
      <c r="D34" s="47">
        <f t="shared" si="0"/>
        <v>3.076923076923066E-2</v>
      </c>
      <c r="F34" s="44">
        <v>44985</v>
      </c>
      <c r="G34" s="45">
        <v>7258.4</v>
      </c>
      <c r="H34" s="47">
        <f t="shared" si="1"/>
        <v>-2.9192179395612472E-2</v>
      </c>
    </row>
    <row r="35" spans="2:8" ht="12.5" x14ac:dyDescent="0.25">
      <c r="B35" s="44">
        <v>45016</v>
      </c>
      <c r="C35" s="45">
        <v>7.14</v>
      </c>
      <c r="D35" s="47">
        <f t="shared" si="0"/>
        <v>-3.1207598371777556E-2</v>
      </c>
      <c r="F35" s="44">
        <v>45016</v>
      </c>
      <c r="G35" s="45">
        <v>7177.75</v>
      </c>
      <c r="H35" s="47">
        <f t="shared" si="1"/>
        <v>-1.1111264190455161E-2</v>
      </c>
    </row>
    <row r="36" spans="2:8" ht="12.5" x14ac:dyDescent="0.25">
      <c r="B36" s="44">
        <v>45046</v>
      </c>
      <c r="C36" s="45">
        <v>6.47</v>
      </c>
      <c r="D36" s="47">
        <f t="shared" si="0"/>
        <v>-9.3837535014005602E-2</v>
      </c>
      <c r="F36" s="44">
        <v>45046</v>
      </c>
      <c r="G36" s="45">
        <v>7309.15</v>
      </c>
      <c r="H36" s="47">
        <f t="shared" si="1"/>
        <v>1.8306572393856024E-2</v>
      </c>
    </row>
    <row r="37" spans="2:8" ht="12.5" x14ac:dyDescent="0.25">
      <c r="B37" s="44">
        <v>45077</v>
      </c>
      <c r="C37" s="45">
        <v>6</v>
      </c>
      <c r="D37" s="47">
        <f t="shared" si="0"/>
        <v>-7.2642967542503878E-2</v>
      </c>
      <c r="F37" s="44">
        <v>45077</v>
      </c>
      <c r="G37" s="45">
        <v>7091.31</v>
      </c>
      <c r="H37" s="47">
        <f t="shared" si="1"/>
        <v>-2.9803739148874908E-2</v>
      </c>
    </row>
    <row r="38" spans="2:8" ht="12.5" x14ac:dyDescent="0.25">
      <c r="B38" s="44">
        <v>45107</v>
      </c>
      <c r="C38" s="45">
        <v>6.08</v>
      </c>
      <c r="D38" s="47">
        <f t="shared" si="0"/>
        <v>1.3333333333333419E-2</v>
      </c>
      <c r="F38" s="44">
        <v>45107</v>
      </c>
      <c r="G38" s="45">
        <v>7203.3</v>
      </c>
      <c r="H38" s="47">
        <f t="shared" si="1"/>
        <v>1.5792568650926153E-2</v>
      </c>
    </row>
    <row r="39" spans="2:8" ht="12.5" x14ac:dyDescent="0.25">
      <c r="B39" s="44">
        <v>45138</v>
      </c>
      <c r="C39" s="45">
        <v>5.98</v>
      </c>
      <c r="D39" s="47">
        <f t="shared" si="0"/>
        <v>-1.6447368421052544E-2</v>
      </c>
      <c r="F39" s="44">
        <v>45138</v>
      </c>
      <c r="G39" s="45">
        <v>7410.42</v>
      </c>
      <c r="H39" s="47">
        <f t="shared" si="1"/>
        <v>2.8753487984673587E-2</v>
      </c>
    </row>
    <row r="40" spans="2:8" ht="12.5" x14ac:dyDescent="0.25">
      <c r="B40" s="44">
        <v>45169</v>
      </c>
      <c r="C40" s="45">
        <v>6.09</v>
      </c>
      <c r="D40" s="47">
        <f t="shared" si="0"/>
        <v>1.8394648829431315E-2</v>
      </c>
      <c r="F40" s="44">
        <v>45169</v>
      </c>
      <c r="G40" s="45">
        <v>7305.27</v>
      </c>
      <c r="H40" s="47">
        <f t="shared" si="1"/>
        <v>-1.4189479138834171E-2</v>
      </c>
    </row>
    <row r="41" spans="2:8" ht="12.5" x14ac:dyDescent="0.25">
      <c r="B41" s="44">
        <v>45199</v>
      </c>
      <c r="C41" s="45">
        <v>6.3</v>
      </c>
      <c r="D41" s="47">
        <f t="shared" si="0"/>
        <v>3.4482758620689724E-2</v>
      </c>
      <c r="F41" s="44">
        <v>45199</v>
      </c>
      <c r="G41" s="45">
        <v>7048.64</v>
      </c>
      <c r="H41" s="47">
        <f t="shared" si="1"/>
        <v>-3.5129433956582079E-2</v>
      </c>
    </row>
    <row r="42" spans="2:8" ht="12.5" x14ac:dyDescent="0.25">
      <c r="B42" s="44">
        <v>45230</v>
      </c>
      <c r="C42" s="45">
        <v>7.12</v>
      </c>
      <c r="D42" s="47">
        <f t="shared" si="0"/>
        <v>0.13015873015873014</v>
      </c>
      <c r="F42" s="44">
        <v>45230</v>
      </c>
      <c r="G42" s="45">
        <v>6780.68</v>
      </c>
      <c r="H42" s="47">
        <f t="shared" si="1"/>
        <v>-3.8015844191219839E-2</v>
      </c>
    </row>
    <row r="43" spans="2:8" ht="12.5" x14ac:dyDescent="0.25">
      <c r="B43" s="44">
        <v>45260</v>
      </c>
      <c r="C43" s="45">
        <v>7.6</v>
      </c>
      <c r="D43" s="47">
        <f t="shared" si="0"/>
        <v>6.7415730337078594E-2</v>
      </c>
      <c r="F43" s="44">
        <v>45260</v>
      </c>
      <c r="G43" s="45">
        <v>7087.33</v>
      </c>
      <c r="H43" s="47">
        <f t="shared" si="1"/>
        <v>4.5224077821103492E-2</v>
      </c>
    </row>
    <row r="44" spans="2:8" ht="12.5" x14ac:dyDescent="0.25">
      <c r="B44" s="44">
        <v>45291</v>
      </c>
      <c r="C44" s="45">
        <v>8.39</v>
      </c>
      <c r="D44" s="47">
        <f t="shared" si="0"/>
        <v>0.10394736842105279</v>
      </c>
      <c r="F44" s="44">
        <v>45291</v>
      </c>
      <c r="G44" s="45">
        <v>7590.82</v>
      </c>
      <c r="H44" s="47">
        <f t="shared" si="1"/>
        <v>7.1040857417391301E-2</v>
      </c>
    </row>
    <row r="45" spans="2:8" ht="12.5" x14ac:dyDescent="0.25">
      <c r="B45" s="44">
        <v>45322</v>
      </c>
      <c r="C45" s="45">
        <v>8.5299999999999994</v>
      </c>
      <c r="D45" s="47">
        <f t="shared" si="0"/>
        <v>1.6686531585220266E-2</v>
      </c>
      <c r="F45" s="44">
        <v>45322</v>
      </c>
      <c r="G45" s="45">
        <v>7680.72</v>
      </c>
      <c r="H45" s="47">
        <f t="shared" si="1"/>
        <v>1.1843252771110535E-2</v>
      </c>
    </row>
    <row r="46" spans="2:8" ht="12.5" x14ac:dyDescent="0.25">
      <c r="B46" s="44">
        <v>45351</v>
      </c>
      <c r="C46" s="45">
        <v>7.73</v>
      </c>
      <c r="D46" s="47">
        <f t="shared" si="0"/>
        <v>-9.3786635404454755E-2</v>
      </c>
      <c r="F46" s="44">
        <v>45351</v>
      </c>
      <c r="G46" s="45">
        <v>7698.7</v>
      </c>
      <c r="H46" s="47">
        <f t="shared" si="1"/>
        <v>2.340926371485974E-3</v>
      </c>
    </row>
    <row r="47" spans="2:8" ht="12.5" x14ac:dyDescent="0.25">
      <c r="B47" s="44">
        <v>45382</v>
      </c>
      <c r="C47" s="45">
        <v>7.41</v>
      </c>
      <c r="D47" s="47">
        <f t="shared" si="0"/>
        <v>-4.1397153945666232E-2</v>
      </c>
      <c r="F47" s="44">
        <v>45382</v>
      </c>
      <c r="G47" s="45">
        <v>7896.86</v>
      </c>
      <c r="H47" s="47">
        <f t="shared" si="1"/>
        <v>2.5739410549832975E-2</v>
      </c>
    </row>
    <row r="48" spans="2:8" ht="12.5" x14ac:dyDescent="0.25">
      <c r="B48" s="44">
        <v>45412</v>
      </c>
      <c r="C48" s="45">
        <v>7.16</v>
      </c>
      <c r="D48" s="47">
        <f t="shared" si="0"/>
        <v>-3.373819163292846E-2</v>
      </c>
      <c r="F48" s="44">
        <v>45412</v>
      </c>
      <c r="G48" s="45">
        <v>7664.07</v>
      </c>
      <c r="H48" s="47">
        <f t="shared" si="1"/>
        <v>-2.9478805499907557E-2</v>
      </c>
    </row>
    <row r="49" spans="2:8" ht="12.5" x14ac:dyDescent="0.25">
      <c r="B49" s="44">
        <v>45443</v>
      </c>
      <c r="C49" s="45">
        <v>7.02</v>
      </c>
      <c r="D49" s="47">
        <f t="shared" si="0"/>
        <v>-1.9553072625698387E-2</v>
      </c>
      <c r="F49" s="44">
        <v>45443</v>
      </c>
      <c r="G49" s="45">
        <v>7701.74</v>
      </c>
      <c r="H49" s="47">
        <f t="shared" si="1"/>
        <v>4.9151429984328754E-3</v>
      </c>
    </row>
    <row r="50" spans="2:8" ht="12.5" x14ac:dyDescent="0.25">
      <c r="B50" s="44">
        <v>45473</v>
      </c>
      <c r="C50" s="45">
        <v>6.4</v>
      </c>
      <c r="D50" s="47">
        <f t="shared" si="0"/>
        <v>-8.831908831908819E-2</v>
      </c>
      <c r="F50" s="44">
        <v>45473</v>
      </c>
      <c r="G50" s="45">
        <v>7767.47</v>
      </c>
      <c r="H50" s="47">
        <f t="shared" si="1"/>
        <v>8.5344350757101672E-3</v>
      </c>
    </row>
    <row r="51" spans="2:8" ht="12.5" x14ac:dyDescent="0.25">
      <c r="B51" s="44">
        <v>45504</v>
      </c>
      <c r="C51" s="45">
        <v>6.28</v>
      </c>
      <c r="D51" s="47">
        <f t="shared" si="0"/>
        <v>-1.8750000000000044E-2</v>
      </c>
      <c r="F51" s="44">
        <v>45504</v>
      </c>
      <c r="G51" s="45">
        <v>8092.33</v>
      </c>
      <c r="H51" s="47">
        <f t="shared" si="1"/>
        <v>4.1823141898198468E-2</v>
      </c>
    </row>
    <row r="52" spans="2:8" ht="12.5" x14ac:dyDescent="0.25">
      <c r="B52" s="44">
        <v>45535</v>
      </c>
      <c r="C52" s="45">
        <v>6.27</v>
      </c>
      <c r="D52" s="47">
        <f t="shared" si="0"/>
        <v>-1.5923566878981443E-3</v>
      </c>
      <c r="F52" s="44">
        <v>45535</v>
      </c>
      <c r="G52" s="45">
        <v>8091.85</v>
      </c>
      <c r="H52" s="47">
        <f t="shared" si="1"/>
        <v>-5.931542584147742E-5</v>
      </c>
    </row>
    <row r="53" spans="2:8" ht="12.5" x14ac:dyDescent="0.25">
      <c r="B53" s="44">
        <v>45565</v>
      </c>
      <c r="C53" s="45">
        <v>7.35</v>
      </c>
      <c r="D53" s="47">
        <f t="shared" si="0"/>
        <v>0.17224880382775121</v>
      </c>
      <c r="F53" s="44">
        <v>45565</v>
      </c>
      <c r="G53" s="45">
        <v>8269.83</v>
      </c>
      <c r="H53" s="47">
        <f t="shared" si="1"/>
        <v>2.1994970247841916E-2</v>
      </c>
    </row>
    <row r="54" spans="2:8" ht="12.5" x14ac:dyDescent="0.25">
      <c r="B54" s="44">
        <v>45596</v>
      </c>
      <c r="C54" s="45">
        <v>5.86</v>
      </c>
      <c r="D54" s="47">
        <f t="shared" si="0"/>
        <v>-0.20272108843537406</v>
      </c>
      <c r="F54" s="44">
        <v>45596</v>
      </c>
      <c r="G54" s="45">
        <v>8160.03</v>
      </c>
      <c r="H54" s="47">
        <f t="shared" si="1"/>
        <v>-1.3277177402679419E-2</v>
      </c>
    </row>
    <row r="55" spans="2:8" ht="12.5" x14ac:dyDescent="0.25">
      <c r="B55" s="44">
        <v>45626</v>
      </c>
      <c r="C55" s="45">
        <v>5.73</v>
      </c>
      <c r="D55" s="47">
        <f t="shared" si="0"/>
        <v>-2.2184300341296925E-2</v>
      </c>
      <c r="F55" s="44">
        <v>45626</v>
      </c>
      <c r="G55" s="45">
        <v>8436.23</v>
      </c>
      <c r="H55" s="47">
        <f t="shared" si="1"/>
        <v>3.3847914774823185E-2</v>
      </c>
    </row>
    <row r="56" spans="2:8" ht="12.5" x14ac:dyDescent="0.25">
      <c r="B56" s="44">
        <v>45657</v>
      </c>
      <c r="C56" s="45">
        <v>5.75</v>
      </c>
      <c r="D56" s="47">
        <f t="shared" si="0"/>
        <v>3.4904013961605251E-3</v>
      </c>
      <c r="F56" s="44">
        <v>45657</v>
      </c>
      <c r="G56" s="45">
        <v>8159.14</v>
      </c>
      <c r="H56" s="47">
        <f t="shared" si="1"/>
        <v>-3.2845240113178464E-2</v>
      </c>
    </row>
    <row r="57" spans="2:8" ht="12.5" x14ac:dyDescent="0.25">
      <c r="B57" s="44">
        <v>45688</v>
      </c>
      <c r="C57" s="45">
        <v>5.57</v>
      </c>
      <c r="D57" s="47">
        <f t="shared" si="0"/>
        <v>-3.1304347826086931E-2</v>
      </c>
      <c r="F57" s="44">
        <v>45688</v>
      </c>
      <c r="G57" s="45">
        <v>8532.2999999999993</v>
      </c>
      <c r="H57" s="47">
        <f t="shared" si="1"/>
        <v>4.573521228953048E-2</v>
      </c>
    </row>
    <row r="58" spans="2:8" ht="12.5" x14ac:dyDescent="0.25">
      <c r="B58" s="44">
        <v>45716</v>
      </c>
      <c r="C58" s="45">
        <v>5.43</v>
      </c>
      <c r="D58" s="47">
        <f t="shared" si="0"/>
        <v>-2.5134649910233509E-2</v>
      </c>
      <c r="F58" s="44">
        <v>45716</v>
      </c>
      <c r="G58" s="45">
        <v>8172.35</v>
      </c>
      <c r="H58" s="47">
        <f t="shared" si="1"/>
        <v>-4.2186749176657989E-2</v>
      </c>
    </row>
    <row r="59" spans="2:8" ht="12.5" x14ac:dyDescent="0.25">
      <c r="B59" s="44">
        <v>45747</v>
      </c>
      <c r="C59" s="45">
        <v>4.8600000000000003</v>
      </c>
      <c r="D59" s="47">
        <f t="shared" si="0"/>
        <v>-0.10497237569060758</v>
      </c>
      <c r="F59" s="44">
        <v>45747</v>
      </c>
      <c r="G59" s="45">
        <v>7843.42</v>
      </c>
      <c r="H59" s="47">
        <f t="shared" si="1"/>
        <v>-4.0249132746394856E-2</v>
      </c>
    </row>
    <row r="60" spans="2:8" ht="12.5" x14ac:dyDescent="0.25">
      <c r="B60" s="44">
        <v>45777</v>
      </c>
      <c r="C60" s="45">
        <v>4.57</v>
      </c>
      <c r="D60" s="47">
        <f t="shared" si="0"/>
        <v>-5.9670781893004121E-2</v>
      </c>
      <c r="F60" s="44">
        <v>45777</v>
      </c>
      <c r="G60" s="45">
        <v>8126.21</v>
      </c>
      <c r="H60" s="47">
        <f t="shared" si="1"/>
        <v>3.60544252379702E-2</v>
      </c>
    </row>
    <row r="61" spans="2:8" ht="12.5" x14ac:dyDescent="0.25">
      <c r="B61" s="44">
        <v>45808</v>
      </c>
      <c r="C61" s="45">
        <v>4.33</v>
      </c>
      <c r="D61" s="47">
        <f t="shared" si="0"/>
        <v>-5.2516411378555894E-2</v>
      </c>
      <c r="F61" s="44">
        <v>45808</v>
      </c>
      <c r="G61" s="45">
        <v>8434.7000000000007</v>
      </c>
      <c r="H61" s="47">
        <f t="shared" si="1"/>
        <v>3.7962346530547642E-2</v>
      </c>
    </row>
    <row r="62" spans="2:8" ht="12.5" x14ac:dyDescent="0.25">
      <c r="B62" s="44">
        <v>45838</v>
      </c>
      <c r="C62" s="45">
        <v>4.17</v>
      </c>
      <c r="D62" s="47">
        <f t="shared" si="0"/>
        <v>-3.6951501154734445E-2</v>
      </c>
      <c r="F62" s="44">
        <v>45838</v>
      </c>
      <c r="G62" s="45">
        <v>8542.27</v>
      </c>
      <c r="H62" s="47">
        <f t="shared" si="1"/>
        <v>1.2753269233049203E-2</v>
      </c>
    </row>
    <row r="63" spans="2:8" ht="12.5" x14ac:dyDescent="0.25">
      <c r="B63" s="44">
        <v>45869</v>
      </c>
      <c r="C63" s="45">
        <v>4.17</v>
      </c>
      <c r="D63" s="47">
        <f t="shared" si="0"/>
        <v>0</v>
      </c>
      <c r="F63" s="44">
        <v>45869</v>
      </c>
      <c r="G63" s="45">
        <v>8742.84</v>
      </c>
      <c r="H63" s="47">
        <f t="shared" si="1"/>
        <v>2.3479707384570947E-2</v>
      </c>
    </row>
    <row r="64" spans="2:8" ht="12.5" x14ac:dyDescent="0.25">
      <c r="B64" s="44">
        <v>45900</v>
      </c>
      <c r="C64" s="45">
        <v>4.5</v>
      </c>
      <c r="D64" s="47">
        <f t="shared" si="0"/>
        <v>7.9136690647481966E-2</v>
      </c>
      <c r="F64" s="44">
        <v>45900</v>
      </c>
      <c r="G64" s="45">
        <v>8973.08</v>
      </c>
      <c r="H64" s="47">
        <f t="shared" si="1"/>
        <v>2.6334692159527107E-2</v>
      </c>
    </row>
    <row r="65" spans="2:8" ht="12.5" x14ac:dyDescent="0.25">
      <c r="B65" s="44">
        <v>45930</v>
      </c>
      <c r="C65" s="45">
        <v>4.67</v>
      </c>
      <c r="D65" s="47">
        <f t="shared" si="0"/>
        <v>3.7777777777777688E-2</v>
      </c>
      <c r="F65" s="44">
        <v>45930</v>
      </c>
      <c r="G65" s="45">
        <v>8848.77</v>
      </c>
      <c r="H65" s="47">
        <f t="shared" si="1"/>
        <v>-1.3853660058753436E-2</v>
      </c>
    </row>
    <row r="66" spans="2:8" ht="12.5" x14ac:dyDescent="0.25">
      <c r="B66" s="44">
        <v>45961</v>
      </c>
      <c r="C66" s="45">
        <v>5.54</v>
      </c>
      <c r="D66" s="47">
        <f t="shared" si="0"/>
        <v>0.18629550321199151</v>
      </c>
      <c r="F66" s="44">
        <v>45961</v>
      </c>
      <c r="G66" s="45">
        <v>8881.86</v>
      </c>
      <c r="H66" s="47">
        <f t="shared" si="1"/>
        <v>3.7395027783522217E-3</v>
      </c>
    </row>
    <row r="67" spans="2:8" ht="12.5" x14ac:dyDescent="0.25">
      <c r="B67" s="44">
        <v>45983</v>
      </c>
      <c r="C67" s="45">
        <v>5.18</v>
      </c>
      <c r="D67" s="47">
        <f t="shared" si="0"/>
        <v>-6.498194945848379E-2</v>
      </c>
      <c r="F67" s="44">
        <v>45983</v>
      </c>
      <c r="G67" s="45">
        <v>8416.5</v>
      </c>
      <c r="H67" s="47">
        <f t="shared" si="1"/>
        <v>-5.2394430896231303E-2</v>
      </c>
    </row>
  </sheetData>
  <mergeCells count="3">
    <mergeCell ref="B4:D4"/>
    <mergeCell ref="F4:H4"/>
    <mergeCell ref="J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G32"/>
  <sheetViews>
    <sheetView showGridLines="0" topLeftCell="A2" workbookViewId="0">
      <selection activeCell="D9" sqref="D9"/>
    </sheetView>
  </sheetViews>
  <sheetFormatPr defaultColWidth="12.6328125" defaultRowHeight="15.75" customHeight="1" x14ac:dyDescent="0.25"/>
  <cols>
    <col min="1" max="1" width="4.453125" customWidth="1"/>
    <col min="6" max="6" width="13.453125" customWidth="1"/>
    <col min="7" max="7" width="12.453125" customWidth="1"/>
  </cols>
  <sheetData>
    <row r="2" spans="2:7" ht="15.75" customHeight="1" x14ac:dyDescent="0.3">
      <c r="B2" s="11" t="s">
        <v>177</v>
      </c>
    </row>
    <row r="4" spans="2:7" ht="15.75" customHeight="1" x14ac:dyDescent="0.3">
      <c r="B4" s="70" t="s">
        <v>167</v>
      </c>
      <c r="C4" s="71"/>
    </row>
    <row r="6" spans="2:7" ht="15.75" customHeight="1" x14ac:dyDescent="0.3">
      <c r="B6" s="11" t="s">
        <v>169</v>
      </c>
      <c r="C6" s="42" t="s">
        <v>170</v>
      </c>
      <c r="D6" s="42" t="s">
        <v>171</v>
      </c>
      <c r="F6" s="16" t="s">
        <v>178</v>
      </c>
      <c r="G6" s="15">
        <f>AVERAGE(D8:D32)</f>
        <v>5.0027391023614066E-2</v>
      </c>
    </row>
    <row r="7" spans="2:7" ht="15.75" customHeight="1" x14ac:dyDescent="0.25">
      <c r="B7" s="44">
        <v>36860</v>
      </c>
      <c r="C7" s="49">
        <v>3274.68</v>
      </c>
      <c r="F7" s="16" t="s">
        <v>179</v>
      </c>
      <c r="G7" s="15">
        <v>3.27E-2</v>
      </c>
    </row>
    <row r="8" spans="2:7" ht="15.75" customHeight="1" x14ac:dyDescent="0.3">
      <c r="B8" s="44">
        <v>37225</v>
      </c>
      <c r="C8" s="49">
        <v>3337.45</v>
      </c>
      <c r="D8" s="27">
        <f t="shared" ref="D8:D32" si="0">C8/C7-1</f>
        <v>1.9168285145418684E-2</v>
      </c>
      <c r="F8" s="11" t="s">
        <v>180</v>
      </c>
      <c r="G8" s="40">
        <f>SUM(G6:G7)</f>
        <v>8.2727391023614066E-2</v>
      </c>
    </row>
    <row r="9" spans="2:7" ht="15.75" customHeight="1" x14ac:dyDescent="0.25">
      <c r="B9" s="44">
        <v>37590</v>
      </c>
      <c r="C9" s="49">
        <v>3061.41</v>
      </c>
      <c r="D9" s="27">
        <f t="shared" si="0"/>
        <v>-8.2709853331136007E-2</v>
      </c>
    </row>
    <row r="10" spans="2:7" ht="15.75" customHeight="1" x14ac:dyDescent="0.25">
      <c r="B10" s="44">
        <v>37955</v>
      </c>
      <c r="C10" s="49">
        <v>3186.39</v>
      </c>
      <c r="D10" s="27">
        <f t="shared" si="0"/>
        <v>4.082432604584163E-2</v>
      </c>
    </row>
    <row r="11" spans="2:7" ht="15.75" customHeight="1" x14ac:dyDescent="0.25">
      <c r="B11" s="44">
        <v>38321</v>
      </c>
      <c r="C11" s="49">
        <v>3931.32</v>
      </c>
      <c r="D11" s="27">
        <f t="shared" si="0"/>
        <v>0.23378494157965601</v>
      </c>
    </row>
    <row r="12" spans="2:7" ht="15.75" customHeight="1" x14ac:dyDescent="0.25">
      <c r="B12" s="44">
        <v>38686</v>
      </c>
      <c r="C12" s="49">
        <v>4634.8100000000004</v>
      </c>
      <c r="D12" s="27">
        <f t="shared" si="0"/>
        <v>0.17894498539930614</v>
      </c>
    </row>
    <row r="13" spans="2:7" ht="15.75" customHeight="1" x14ac:dyDescent="0.25">
      <c r="B13" s="44">
        <v>39051</v>
      </c>
      <c r="C13" s="49">
        <v>5482.06</v>
      </c>
      <c r="D13" s="27">
        <f t="shared" si="0"/>
        <v>0.18280145248672541</v>
      </c>
    </row>
    <row r="14" spans="2:7" ht="15.75" customHeight="1" x14ac:dyDescent="0.25">
      <c r="B14" s="44">
        <v>39416</v>
      </c>
      <c r="C14" s="49">
        <v>6533.15</v>
      </c>
      <c r="D14" s="27">
        <f t="shared" si="0"/>
        <v>0.19173266983579151</v>
      </c>
    </row>
    <row r="15" spans="2:7" ht="15.75" customHeight="1" x14ac:dyDescent="0.25">
      <c r="B15" s="44">
        <v>39782</v>
      </c>
      <c r="C15" s="49">
        <v>3742.52</v>
      </c>
      <c r="D15" s="27">
        <f t="shared" si="0"/>
        <v>-0.4271492312284273</v>
      </c>
    </row>
    <row r="16" spans="2:7" ht="15.75" customHeight="1" x14ac:dyDescent="0.25">
      <c r="B16" s="44">
        <v>40147</v>
      </c>
      <c r="C16" s="49">
        <v>4701.3500000000004</v>
      </c>
      <c r="D16" s="27">
        <f t="shared" si="0"/>
        <v>0.25619903166850144</v>
      </c>
    </row>
    <row r="17" spans="2:4" ht="15.75" customHeight="1" x14ac:dyDescent="0.25">
      <c r="B17" s="44">
        <v>40512</v>
      </c>
      <c r="C17" s="49">
        <v>4584.43</v>
      </c>
      <c r="D17" s="27">
        <f t="shared" si="0"/>
        <v>-2.4869452391334423E-2</v>
      </c>
    </row>
    <row r="18" spans="2:4" ht="15.75" customHeight="1" x14ac:dyDescent="0.25">
      <c r="B18" s="44">
        <v>40877</v>
      </c>
      <c r="C18" s="49">
        <v>4119.82</v>
      </c>
      <c r="D18" s="27">
        <f t="shared" si="0"/>
        <v>-0.10134520540176217</v>
      </c>
    </row>
    <row r="19" spans="2:4" ht="15.75" customHeight="1" x14ac:dyDescent="0.25">
      <c r="B19" s="44">
        <v>41243</v>
      </c>
      <c r="C19" s="49">
        <v>4506.04</v>
      </c>
      <c r="D19" s="27">
        <f t="shared" si="0"/>
        <v>9.3746814181202121E-2</v>
      </c>
    </row>
    <row r="20" spans="2:4" ht="15.75" customHeight="1" x14ac:dyDescent="0.25">
      <c r="B20" s="44">
        <v>41608</v>
      </c>
      <c r="C20" s="49">
        <v>5320.05</v>
      </c>
      <c r="D20" s="27">
        <f t="shared" si="0"/>
        <v>0.18064864049142937</v>
      </c>
    </row>
    <row r="21" spans="2:4" ht="12.5" x14ac:dyDescent="0.25">
      <c r="B21" s="44">
        <v>41973</v>
      </c>
      <c r="C21" s="49">
        <v>5313</v>
      </c>
      <c r="D21" s="27">
        <f t="shared" si="0"/>
        <v>-1.3251755152677847E-3</v>
      </c>
    </row>
    <row r="22" spans="2:4" ht="12.5" x14ac:dyDescent="0.25">
      <c r="B22" s="44">
        <v>42338</v>
      </c>
      <c r="C22" s="49">
        <v>5166.5200000000004</v>
      </c>
      <c r="D22" s="27">
        <f t="shared" si="0"/>
        <v>-2.7570111048371815E-2</v>
      </c>
    </row>
    <row r="23" spans="2:4" ht="12.5" x14ac:dyDescent="0.25">
      <c r="B23" s="44">
        <v>42704</v>
      </c>
      <c r="C23" s="49">
        <v>5440.47</v>
      </c>
      <c r="D23" s="27">
        <f t="shared" si="0"/>
        <v>5.3024085845017499E-2</v>
      </c>
    </row>
    <row r="24" spans="2:4" ht="12.5" x14ac:dyDescent="0.25">
      <c r="B24" s="44">
        <v>43069</v>
      </c>
      <c r="C24" s="49">
        <v>5969.89</v>
      </c>
      <c r="D24" s="27">
        <f t="shared" si="0"/>
        <v>9.73114455184938E-2</v>
      </c>
    </row>
    <row r="25" spans="2:4" ht="12.5" x14ac:dyDescent="0.25">
      <c r="B25" s="44">
        <v>43434</v>
      </c>
      <c r="C25" s="49">
        <v>5667.16</v>
      </c>
      <c r="D25" s="27">
        <f t="shared" si="0"/>
        <v>-5.0709477059041386E-2</v>
      </c>
    </row>
    <row r="26" spans="2:4" ht="12.5" x14ac:dyDescent="0.25">
      <c r="B26" s="44">
        <v>43799</v>
      </c>
      <c r="C26" s="49">
        <v>6846</v>
      </c>
      <c r="D26" s="27">
        <f t="shared" si="0"/>
        <v>0.20801247891360042</v>
      </c>
    </row>
    <row r="27" spans="2:4" ht="12.5" x14ac:dyDescent="0.25">
      <c r="B27" s="44">
        <v>44165</v>
      </c>
      <c r="C27" s="49">
        <v>6517.81</v>
      </c>
      <c r="D27" s="27">
        <f t="shared" si="0"/>
        <v>-4.7938942448144894E-2</v>
      </c>
    </row>
    <row r="28" spans="2:4" ht="12.5" x14ac:dyDescent="0.25">
      <c r="B28" s="44">
        <v>44530</v>
      </c>
      <c r="C28" s="49">
        <v>7255.97</v>
      </c>
      <c r="D28" s="27">
        <f t="shared" si="0"/>
        <v>0.1132527643487613</v>
      </c>
    </row>
    <row r="29" spans="2:4" ht="12.5" x14ac:dyDescent="0.25">
      <c r="B29" s="44">
        <v>44895</v>
      </c>
      <c r="C29" s="49">
        <v>7284.17</v>
      </c>
      <c r="D29" s="27">
        <f t="shared" si="0"/>
        <v>3.8864548778454466E-3</v>
      </c>
    </row>
    <row r="30" spans="2:4" ht="12.5" x14ac:dyDescent="0.25">
      <c r="B30" s="44">
        <v>45260</v>
      </c>
      <c r="C30" s="49">
        <v>7087.33</v>
      </c>
      <c r="D30" s="27">
        <f t="shared" si="0"/>
        <v>-2.7022982714571486E-2</v>
      </c>
    </row>
    <row r="31" spans="2:4" ht="12.5" x14ac:dyDescent="0.25">
      <c r="B31" s="44">
        <v>45626</v>
      </c>
      <c r="C31" s="49">
        <v>8436.23</v>
      </c>
      <c r="D31" s="27">
        <f t="shared" si="0"/>
        <v>0.1903255527822183</v>
      </c>
    </row>
    <row r="32" spans="2:4" ht="12.5" x14ac:dyDescent="0.25">
      <c r="B32" s="44">
        <v>45983</v>
      </c>
      <c r="C32" s="49">
        <v>8416.5</v>
      </c>
      <c r="D32" s="27">
        <f t="shared" si="0"/>
        <v>-2.3387223913998723E-3</v>
      </c>
    </row>
  </sheetData>
  <mergeCells count="1"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J48"/>
  <sheetViews>
    <sheetView showGridLines="0" topLeftCell="A7" workbookViewId="0">
      <selection activeCell="C37" sqref="C37"/>
    </sheetView>
  </sheetViews>
  <sheetFormatPr defaultColWidth="12.6328125" defaultRowHeight="15.75" customHeight="1" x14ac:dyDescent="0.25"/>
  <cols>
    <col min="1" max="1" width="4.453125" customWidth="1"/>
    <col min="2" max="2" width="26.36328125" customWidth="1"/>
  </cols>
  <sheetData>
    <row r="2" spans="2:10" ht="15.75" customHeight="1" x14ac:dyDescent="0.3">
      <c r="B2" s="11" t="s">
        <v>181</v>
      </c>
    </row>
    <row r="4" spans="2:10" ht="15.75" customHeight="1" x14ac:dyDescent="0.3">
      <c r="B4" s="3" t="s">
        <v>1</v>
      </c>
      <c r="C4" s="3"/>
      <c r="D4" s="4">
        <v>2019</v>
      </c>
      <c r="E4" s="5">
        <f t="shared" ref="E4:J4" si="0">D4+1</f>
        <v>2020</v>
      </c>
      <c r="F4" s="5">
        <f t="shared" si="0"/>
        <v>2021</v>
      </c>
      <c r="G4" s="5">
        <f t="shared" si="0"/>
        <v>2022</v>
      </c>
      <c r="H4" s="5">
        <f t="shared" si="0"/>
        <v>2023</v>
      </c>
      <c r="I4" s="5">
        <f t="shared" si="0"/>
        <v>2024</v>
      </c>
      <c r="J4" s="5">
        <f t="shared" si="0"/>
        <v>2025</v>
      </c>
    </row>
    <row r="6" spans="2:10" ht="15.75" customHeight="1" x14ac:dyDescent="0.25">
      <c r="B6" s="16" t="str">
        <f>Historicals!B24</f>
        <v>Short-term Investments</v>
      </c>
      <c r="C6" s="16"/>
      <c r="D6" s="17">
        <f>Historicals!D24</f>
        <v>17907</v>
      </c>
      <c r="E6" s="17">
        <f>Historicals!E24</f>
        <v>17291</v>
      </c>
      <c r="F6" s="17">
        <f>Historicals!F24</f>
        <v>27200</v>
      </c>
      <c r="G6" s="17">
        <f>Historicals!G24</f>
        <v>30777</v>
      </c>
      <c r="H6" s="17">
        <f>Historicals!H24</f>
        <v>312</v>
      </c>
      <c r="I6" s="17">
        <f>Historicals!I24</f>
        <v>0</v>
      </c>
      <c r="J6" s="17">
        <f>Historicals!J24</f>
        <v>0</v>
      </c>
    </row>
    <row r="7" spans="2:10" ht="15.75" customHeight="1" x14ac:dyDescent="0.25">
      <c r="B7" s="16" t="str">
        <f>Historicals!B25</f>
        <v>Receivables</v>
      </c>
      <c r="D7" s="17">
        <f>Historicals!D25</f>
        <v>93012</v>
      </c>
      <c r="E7" s="17">
        <f>Historicals!E25</f>
        <v>31249</v>
      </c>
      <c r="F7" s="17">
        <f>Historicals!F25</f>
        <v>98755</v>
      </c>
      <c r="G7" s="17">
        <f>Historicals!G25</f>
        <v>124137</v>
      </c>
      <c r="H7" s="17">
        <f>Historicals!H25</f>
        <v>162268</v>
      </c>
      <c r="I7" s="17">
        <f>Historicals!I25</f>
        <v>120079</v>
      </c>
      <c r="J7" s="17">
        <f>Historicals!J25</f>
        <v>202470</v>
      </c>
    </row>
    <row r="8" spans="2:10" ht="15.75" customHeight="1" x14ac:dyDescent="0.25">
      <c r="B8" s="16" t="str">
        <f>Historicals!B26</f>
        <v>Inventories</v>
      </c>
      <c r="D8" s="17">
        <f>Historicals!D26</f>
        <v>44154</v>
      </c>
      <c r="E8" s="17">
        <f>Historicals!E26</f>
        <v>58611</v>
      </c>
      <c r="F8" s="17">
        <f>Historicals!F26</f>
        <v>66814</v>
      </c>
      <c r="G8" s="17">
        <f>Historicals!G26</f>
        <v>98861</v>
      </c>
      <c r="H8" s="17">
        <f>Historicals!H26</f>
        <v>167670</v>
      </c>
      <c r="I8" s="17">
        <f>Historicals!I26</f>
        <v>332611</v>
      </c>
      <c r="J8" s="17">
        <f>Historicals!J26</f>
        <v>357489</v>
      </c>
    </row>
    <row r="9" spans="2:10" ht="15.75" customHeight="1" x14ac:dyDescent="0.25">
      <c r="B9" s="16" t="str">
        <f>Historicals!B27</f>
        <v>Other Current Assets</v>
      </c>
      <c r="D9" s="17">
        <f>Historicals!D27</f>
        <v>24186</v>
      </c>
      <c r="E9" s="17">
        <f>Historicals!E27</f>
        <v>13035</v>
      </c>
      <c r="F9" s="17">
        <f>Historicals!F27</f>
        <v>5454</v>
      </c>
      <c r="G9" s="17">
        <f>Historicals!G27</f>
        <v>20272</v>
      </c>
      <c r="H9" s="17">
        <f>Historicals!H27</f>
        <v>80963</v>
      </c>
      <c r="I9" s="17">
        <f>Historicals!I27</f>
        <v>47368</v>
      </c>
      <c r="J9" s="17">
        <f>Historicals!J27</f>
        <v>54895</v>
      </c>
    </row>
    <row r="10" spans="2:10" ht="15.75" customHeight="1" x14ac:dyDescent="0.3">
      <c r="B10" s="11" t="s">
        <v>182</v>
      </c>
      <c r="C10" s="11"/>
      <c r="D10" s="18">
        <f t="shared" ref="D10:J10" si="1">SUM(D6:D9)</f>
        <v>179259</v>
      </c>
      <c r="E10" s="18">
        <f t="shared" si="1"/>
        <v>120186</v>
      </c>
      <c r="F10" s="18">
        <f t="shared" si="1"/>
        <v>198223</v>
      </c>
      <c r="G10" s="18">
        <f t="shared" si="1"/>
        <v>274047</v>
      </c>
      <c r="H10" s="18">
        <f t="shared" si="1"/>
        <v>411213</v>
      </c>
      <c r="I10" s="18">
        <f t="shared" si="1"/>
        <v>500058</v>
      </c>
      <c r="J10" s="18">
        <f t="shared" si="1"/>
        <v>614854</v>
      </c>
    </row>
    <row r="12" spans="2:10" ht="15.75" customHeight="1" x14ac:dyDescent="0.25">
      <c r="B12" s="16" t="str">
        <f>Historicals!B40</f>
        <v>Accounts Payable - Other</v>
      </c>
      <c r="C12" s="16"/>
      <c r="D12" s="17">
        <f>Historicals!D40</f>
        <v>44697</v>
      </c>
      <c r="E12" s="17">
        <f>Historicals!E40</f>
        <v>55158</v>
      </c>
      <c r="F12" s="17">
        <f>Historicals!F40</f>
        <v>102225</v>
      </c>
      <c r="G12" s="17">
        <f>Historicals!G40</f>
        <v>192151</v>
      </c>
      <c r="H12" s="17">
        <f>Historicals!H40</f>
        <v>178578</v>
      </c>
      <c r="I12" s="17">
        <f>Historicals!I40</f>
        <v>251778</v>
      </c>
      <c r="J12" s="17">
        <f>Historicals!J40</f>
        <v>289660</v>
      </c>
    </row>
    <row r="13" spans="2:10" ht="15.75" customHeight="1" x14ac:dyDescent="0.25">
      <c r="B13" s="16" t="str">
        <f>Historicals!B41</f>
        <v>Current Portion of Long-term Debt</v>
      </c>
      <c r="C13" s="16"/>
      <c r="D13" s="17">
        <f>Historicals!D41</f>
        <v>35852</v>
      </c>
      <c r="E13" s="17">
        <f>Historicals!E41</f>
        <v>0</v>
      </c>
      <c r="F13" s="17">
        <f>Historicals!F41</f>
        <v>0</v>
      </c>
      <c r="G13" s="17">
        <f>Historicals!G41</f>
        <v>71995</v>
      </c>
      <c r="H13" s="17">
        <f>Historicals!H41</f>
        <v>27080</v>
      </c>
      <c r="I13" s="17">
        <f>Historicals!I41</f>
        <v>31061</v>
      </c>
      <c r="J13" s="17">
        <f>Historicals!J41</f>
        <v>40725</v>
      </c>
    </row>
    <row r="14" spans="2:10" ht="15.75" customHeight="1" x14ac:dyDescent="0.25">
      <c r="B14" s="16" t="str">
        <f>Historicals!B42</f>
        <v>Income and Mining Taxes Payable</v>
      </c>
      <c r="C14" s="16"/>
      <c r="D14" s="17">
        <f>Historicals!D42</f>
        <v>34059</v>
      </c>
      <c r="E14" s="17">
        <f>Historicals!E42</f>
        <v>57761</v>
      </c>
      <c r="F14" s="17">
        <f>Historicals!F42</f>
        <v>191542</v>
      </c>
      <c r="G14" s="17">
        <f>Historicals!G42</f>
        <v>22744</v>
      </c>
      <c r="H14" s="17">
        <f>Historicals!H42</f>
        <v>0</v>
      </c>
      <c r="I14" s="17">
        <f>Historicals!I42</f>
        <v>40232</v>
      </c>
      <c r="J14" s="17">
        <f>Historicals!J42</f>
        <v>25895</v>
      </c>
    </row>
    <row r="15" spans="2:10" ht="15.75" customHeight="1" x14ac:dyDescent="0.25">
      <c r="B15" s="16" t="str">
        <f>Historicals!B43</f>
        <v>Current Portion of Provisions</v>
      </c>
      <c r="C15" s="16"/>
      <c r="D15" s="17">
        <f>Historicals!D43</f>
        <v>0</v>
      </c>
      <c r="E15" s="17">
        <f>Historicals!E43</f>
        <v>0</v>
      </c>
      <c r="F15" s="17">
        <f>Historicals!F43</f>
        <v>0</v>
      </c>
      <c r="G15" s="17">
        <f>Historicals!G43</f>
        <v>0</v>
      </c>
      <c r="H15" s="17">
        <f>Historicals!H43</f>
        <v>0</v>
      </c>
      <c r="I15" s="17">
        <f>Historicals!I43</f>
        <v>0</v>
      </c>
      <c r="J15" s="17">
        <f>Historicals!J43</f>
        <v>2402</v>
      </c>
    </row>
    <row r="16" spans="2:10" ht="15.75" customHeight="1" x14ac:dyDescent="0.3">
      <c r="B16" s="11" t="s">
        <v>183</v>
      </c>
      <c r="D16" s="18">
        <f t="shared" ref="D16:J16" si="2">SUM(D12:D15)</f>
        <v>114608</v>
      </c>
      <c r="E16" s="18">
        <f t="shared" si="2"/>
        <v>112919</v>
      </c>
      <c r="F16" s="18">
        <f t="shared" si="2"/>
        <v>293767</v>
      </c>
      <c r="G16" s="18">
        <f t="shared" si="2"/>
        <v>286890</v>
      </c>
      <c r="H16" s="18">
        <f t="shared" si="2"/>
        <v>205658</v>
      </c>
      <c r="I16" s="18">
        <f t="shared" si="2"/>
        <v>323071</v>
      </c>
      <c r="J16" s="18">
        <f t="shared" si="2"/>
        <v>358682</v>
      </c>
    </row>
    <row r="18" spans="2:10" ht="15.75" customHeight="1" x14ac:dyDescent="0.3">
      <c r="B18" s="11" t="s">
        <v>106</v>
      </c>
      <c r="D18" s="18">
        <f t="shared" ref="D18:J18" si="3">D10-D16</f>
        <v>64651</v>
      </c>
      <c r="E18" s="18">
        <f t="shared" si="3"/>
        <v>7267</v>
      </c>
      <c r="F18" s="18">
        <f t="shared" si="3"/>
        <v>-95544</v>
      </c>
      <c r="G18" s="18">
        <f t="shared" si="3"/>
        <v>-12843</v>
      </c>
      <c r="H18" s="18">
        <f t="shared" si="3"/>
        <v>205555</v>
      </c>
      <c r="I18" s="18">
        <f t="shared" si="3"/>
        <v>176987</v>
      </c>
      <c r="J18" s="18">
        <f t="shared" si="3"/>
        <v>256172</v>
      </c>
    </row>
    <row r="20" spans="2:10" ht="15.75" customHeight="1" x14ac:dyDescent="0.25">
      <c r="B20" s="16" t="str">
        <f>Historicals!B30</f>
        <v>Exploration and Evaluation Assets</v>
      </c>
      <c r="C20" s="16"/>
      <c r="D20" s="17">
        <f>Historicals!D30</f>
        <v>81508</v>
      </c>
      <c r="E20" s="17">
        <f>Historicals!E30</f>
        <v>75525</v>
      </c>
      <c r="F20" s="17">
        <f>Historicals!F30</f>
        <v>76106</v>
      </c>
      <c r="G20" s="17">
        <f>Historicals!G30</f>
        <v>107810</v>
      </c>
      <c r="H20" s="17">
        <f>Historicals!H30</f>
        <v>117127</v>
      </c>
      <c r="I20" s="17">
        <f>Historicals!I30</f>
        <v>131827</v>
      </c>
      <c r="J20" s="17">
        <f>Historicals!J30</f>
        <v>148029</v>
      </c>
    </row>
    <row r="21" spans="2:10" ht="12.5" x14ac:dyDescent="0.25">
      <c r="B21" s="16" t="str">
        <f>Historicals!B31</f>
        <v>Property, Plant and Equipment</v>
      </c>
      <c r="C21" s="16"/>
      <c r="D21" s="17">
        <f>Historicals!D31</f>
        <v>224123</v>
      </c>
      <c r="E21" s="17">
        <f>Historicals!E31</f>
        <v>365470</v>
      </c>
      <c r="F21" s="17">
        <f>Historicals!F31</f>
        <v>504985</v>
      </c>
      <c r="G21" s="17">
        <f>Historicals!G31</f>
        <v>1070030</v>
      </c>
      <c r="H21" s="17">
        <f>Historicals!H31</f>
        <v>1261968</v>
      </c>
      <c r="I21" s="17">
        <f>Historicals!I31</f>
        <v>1545961</v>
      </c>
      <c r="J21" s="17">
        <f>Historicals!J31</f>
        <v>2046406</v>
      </c>
    </row>
    <row r="22" spans="2:10" ht="12.5" x14ac:dyDescent="0.25">
      <c r="B22" s="16" t="str">
        <f>Historicals!B32</f>
        <v>Investments</v>
      </c>
      <c r="C22" s="16"/>
      <c r="D22" s="17">
        <f>Historicals!D32</f>
        <v>2653</v>
      </c>
      <c r="E22" s="17">
        <f>Historicals!E32</f>
        <v>1546</v>
      </c>
      <c r="F22" s="17">
        <f>Historicals!F32</f>
        <v>9704</v>
      </c>
      <c r="G22" s="17">
        <f>Historicals!G32</f>
        <v>14158</v>
      </c>
      <c r="H22" s="17">
        <f>Historicals!H32</f>
        <v>14751</v>
      </c>
      <c r="I22" s="17">
        <f>Historicals!I32</f>
        <v>14509</v>
      </c>
      <c r="J22" s="17">
        <f>Historicals!J32</f>
        <v>15393</v>
      </c>
    </row>
    <row r="23" spans="2:10" ht="12.5" x14ac:dyDescent="0.25">
      <c r="B23" s="16" t="str">
        <f>Historicals!B33</f>
        <v>Intangible Assets</v>
      </c>
      <c r="C23" s="16"/>
      <c r="D23" s="17">
        <f>Historicals!D33</f>
        <v>1472</v>
      </c>
      <c r="E23" s="17">
        <f>Historicals!E33</f>
        <v>6070</v>
      </c>
      <c r="F23" s="17">
        <f>Historicals!F33</f>
        <v>6257</v>
      </c>
      <c r="G23" s="17">
        <f>Historicals!G33</f>
        <v>8545</v>
      </c>
      <c r="H23" s="17">
        <f>Historicals!H33</f>
        <v>7866</v>
      </c>
      <c r="I23" s="17">
        <f>Historicals!I33</f>
        <v>5172</v>
      </c>
      <c r="J23" s="17">
        <f>Historicals!J33</f>
        <v>5219</v>
      </c>
    </row>
    <row r="24" spans="2:10" ht="12.5" x14ac:dyDescent="0.25">
      <c r="B24" s="16" t="str">
        <f>Historicals!B34</f>
        <v>Restricted Cash</v>
      </c>
      <c r="C24" s="16"/>
      <c r="D24" s="17">
        <f>Historicals!D34</f>
        <v>0</v>
      </c>
      <c r="E24" s="17">
        <f>Historicals!E34</f>
        <v>0</v>
      </c>
      <c r="F24" s="17">
        <f>Historicals!F34</f>
        <v>44012</v>
      </c>
      <c r="G24" s="17">
        <f>Historicals!G34</f>
        <v>43736</v>
      </c>
      <c r="H24" s="17">
        <f>Historicals!H34</f>
        <v>0</v>
      </c>
      <c r="I24" s="17">
        <f>Historicals!I34</f>
        <v>0</v>
      </c>
      <c r="J24" s="17">
        <f>Historicals!J34</f>
        <v>0</v>
      </c>
    </row>
    <row r="25" spans="2:10" ht="12.5" x14ac:dyDescent="0.25">
      <c r="B25" s="16" t="str">
        <f>Historicals!B35</f>
        <v>Other Non-current Assets</v>
      </c>
      <c r="C25" s="16"/>
      <c r="D25" s="17">
        <f>Historicals!D35</f>
        <v>10800</v>
      </c>
      <c r="E25" s="17">
        <f>Historicals!E35</f>
        <v>0</v>
      </c>
      <c r="F25" s="17">
        <f>Historicals!F35</f>
        <v>0</v>
      </c>
      <c r="G25" s="17">
        <f>Historicals!G35</f>
        <v>0</v>
      </c>
      <c r="H25" s="17">
        <f>Historicals!H35</f>
        <v>8595</v>
      </c>
      <c r="I25" s="17">
        <f>Historicals!I35</f>
        <v>8589</v>
      </c>
      <c r="J25" s="17">
        <f>Historicals!J35</f>
        <v>6542</v>
      </c>
    </row>
    <row r="26" spans="2:10" ht="12.5" x14ac:dyDescent="0.25">
      <c r="B26" s="16" t="str">
        <f>Historicals!B36</f>
        <v>Advance Payments</v>
      </c>
      <c r="C26" s="16"/>
      <c r="D26" s="17">
        <f>Historicals!D36</f>
        <v>38250</v>
      </c>
      <c r="E26" s="17">
        <f>Historicals!E36</f>
        <v>32438</v>
      </c>
      <c r="F26" s="17">
        <f>Historicals!F36</f>
        <v>48303</v>
      </c>
      <c r="G26" s="17">
        <f>Historicals!G36</f>
        <v>149012</v>
      </c>
      <c r="H26" s="17">
        <f>Historicals!H36</f>
        <v>166943</v>
      </c>
      <c r="I26" s="17">
        <f>Historicals!I36</f>
        <v>83374</v>
      </c>
      <c r="J26" s="17">
        <f>Historicals!J36</f>
        <v>76307</v>
      </c>
    </row>
    <row r="27" spans="2:10" ht="13" x14ac:dyDescent="0.3">
      <c r="B27" s="11" t="s">
        <v>184</v>
      </c>
      <c r="C27" s="11"/>
      <c r="D27" s="18">
        <f t="shared" ref="D27:J27" si="4">SUM(D20:D26)</f>
        <v>358806</v>
      </c>
      <c r="E27" s="18">
        <f t="shared" si="4"/>
        <v>481049</v>
      </c>
      <c r="F27" s="18">
        <f t="shared" si="4"/>
        <v>689367</v>
      </c>
      <c r="G27" s="18">
        <f t="shared" si="4"/>
        <v>1393291</v>
      </c>
      <c r="H27" s="18">
        <f t="shared" si="4"/>
        <v>1577250</v>
      </c>
      <c r="I27" s="18">
        <f t="shared" si="4"/>
        <v>1789432</v>
      </c>
      <c r="J27" s="18">
        <f t="shared" si="4"/>
        <v>2297896</v>
      </c>
    </row>
    <row r="29" spans="2:10" ht="13" x14ac:dyDescent="0.3">
      <c r="B29" s="11" t="s">
        <v>185</v>
      </c>
      <c r="D29" s="18">
        <f t="shared" ref="D29:J29" si="5">SUM(D27,D18)</f>
        <v>423457</v>
      </c>
      <c r="E29" s="18">
        <f t="shared" si="5"/>
        <v>488316</v>
      </c>
      <c r="F29" s="18">
        <f t="shared" si="5"/>
        <v>593823</v>
      </c>
      <c r="G29" s="18">
        <f t="shared" si="5"/>
        <v>1380448</v>
      </c>
      <c r="H29" s="18">
        <f t="shared" si="5"/>
        <v>1782805</v>
      </c>
      <c r="I29" s="18">
        <f t="shared" si="5"/>
        <v>1966419</v>
      </c>
      <c r="J29" s="18">
        <f t="shared" si="5"/>
        <v>2554068</v>
      </c>
    </row>
    <row r="30" spans="2:10" ht="12.5" x14ac:dyDescent="0.25">
      <c r="B30" s="16" t="str">
        <f>Historicals!B11</f>
        <v>EBIT</v>
      </c>
      <c r="C30" s="16"/>
      <c r="D30" s="17">
        <f>Historicals!D11</f>
        <v>260559</v>
      </c>
      <c r="E30" s="17">
        <f>Historicals!E11</f>
        <v>326539</v>
      </c>
      <c r="F30" s="17">
        <f>Historicals!F11</f>
        <v>774063</v>
      </c>
      <c r="G30" s="17">
        <f>Historicals!G11</f>
        <v>891080</v>
      </c>
      <c r="H30" s="17">
        <f>Historicals!H11</f>
        <v>371310</v>
      </c>
      <c r="I30" s="17">
        <f>Historicals!I11</f>
        <v>429207</v>
      </c>
      <c r="J30" s="17">
        <f>Historicals!J11</f>
        <v>320511</v>
      </c>
    </row>
    <row r="32" spans="2:10" ht="13" x14ac:dyDescent="0.3">
      <c r="B32" s="50" t="s">
        <v>186</v>
      </c>
      <c r="C32" s="50"/>
      <c r="D32" s="51">
        <f t="shared" ref="D32:J32" si="6">D30/D29</f>
        <v>0.61531395159366831</v>
      </c>
      <c r="E32" s="51">
        <f t="shared" si="6"/>
        <v>0.66870428165368323</v>
      </c>
      <c r="F32" s="51">
        <f t="shared" si="6"/>
        <v>1.3035247876892608</v>
      </c>
      <c r="G32" s="51">
        <f t="shared" si="6"/>
        <v>0.64550059111245051</v>
      </c>
      <c r="H32" s="51">
        <f t="shared" si="6"/>
        <v>0.208272918238394</v>
      </c>
      <c r="I32" s="51">
        <f t="shared" si="6"/>
        <v>0.21826833446991714</v>
      </c>
      <c r="J32" s="51">
        <f t="shared" si="6"/>
        <v>0.12549039414768909</v>
      </c>
    </row>
    <row r="34" spans="2:10" ht="12.5" x14ac:dyDescent="0.25">
      <c r="B34" s="16" t="s">
        <v>187</v>
      </c>
      <c r="D34" s="17">
        <f>-SUM(Historicals!D86,Historicals!D88,Historicals!D87,Historicals!D91)</f>
        <v>72314</v>
      </c>
      <c r="E34" s="17">
        <f>-SUM(Historicals!E86,Historicals!E88,Historicals!E87,Historicals!E91)</f>
        <v>147995</v>
      </c>
      <c r="F34" s="17">
        <f>-SUM(Historicals!F86,Historicals!F88,Historicals!F87,Historicals!F91)</f>
        <v>173152</v>
      </c>
      <c r="G34" s="17">
        <f>-SUM(Historicals!G86,Historicals!G88,Historicals!G87,Historicals!G91)</f>
        <v>533443</v>
      </c>
      <c r="H34" s="17">
        <f>-SUM(Historicals!H86,Historicals!H88,Historicals!H87,Historicals!H91)</f>
        <v>292209</v>
      </c>
      <c r="I34" s="17">
        <f>-SUM(Historicals!I86,Historicals!I88,Historicals!I87,Historicals!I91)</f>
        <v>340156</v>
      </c>
      <c r="J34" s="17">
        <f>-SUM(Historicals!J86,Historicals!J88,Historicals!J87,Historicals!J91)</f>
        <v>603990</v>
      </c>
    </row>
    <row r="35" spans="2:10" ht="12.5" x14ac:dyDescent="0.25">
      <c r="B35" s="16" t="s">
        <v>188</v>
      </c>
      <c r="E35" s="17">
        <f t="shared" ref="E35:J35" si="7">E18-D18</f>
        <v>-57384</v>
      </c>
      <c r="F35" s="17">
        <f t="shared" si="7"/>
        <v>-102811</v>
      </c>
      <c r="G35" s="17">
        <f t="shared" si="7"/>
        <v>82701</v>
      </c>
      <c r="H35" s="17">
        <f t="shared" si="7"/>
        <v>218398</v>
      </c>
      <c r="I35" s="17">
        <f t="shared" si="7"/>
        <v>-28568</v>
      </c>
      <c r="J35" s="17">
        <f t="shared" si="7"/>
        <v>79185</v>
      </c>
    </row>
    <row r="37" spans="2:10" ht="12.5" x14ac:dyDescent="0.25">
      <c r="B37" s="16" t="str">
        <f t="shared" ref="B37:J37" si="8">B30</f>
        <v>EBIT</v>
      </c>
      <c r="C37" s="16"/>
      <c r="D37" s="17">
        <f t="shared" si="8"/>
        <v>260559</v>
      </c>
      <c r="E37" s="17">
        <f t="shared" si="8"/>
        <v>326539</v>
      </c>
      <c r="F37" s="17">
        <f t="shared" si="8"/>
        <v>774063</v>
      </c>
      <c r="G37" s="17">
        <f t="shared" si="8"/>
        <v>891080</v>
      </c>
      <c r="H37" s="17">
        <f t="shared" si="8"/>
        <v>371310</v>
      </c>
      <c r="I37" s="17">
        <f t="shared" si="8"/>
        <v>429207</v>
      </c>
      <c r="J37" s="17">
        <f t="shared" si="8"/>
        <v>320511</v>
      </c>
    </row>
    <row r="38" spans="2:10" ht="12.5" x14ac:dyDescent="0.25">
      <c r="B38" s="16" t="s">
        <v>189</v>
      </c>
      <c r="D38" s="52">
        <v>0.4</v>
      </c>
      <c r="E38" s="53">
        <f t="shared" ref="E38:J38" si="9">$D$38</f>
        <v>0.4</v>
      </c>
      <c r="F38" s="53">
        <f t="shared" si="9"/>
        <v>0.4</v>
      </c>
      <c r="G38" s="53">
        <f t="shared" si="9"/>
        <v>0.4</v>
      </c>
      <c r="H38" s="53">
        <f t="shared" si="9"/>
        <v>0.4</v>
      </c>
      <c r="I38" s="53">
        <f t="shared" si="9"/>
        <v>0.4</v>
      </c>
      <c r="J38" s="53">
        <f t="shared" si="9"/>
        <v>0.4</v>
      </c>
    </row>
    <row r="39" spans="2:10" ht="12.5" x14ac:dyDescent="0.25">
      <c r="B39" s="16" t="s">
        <v>190</v>
      </c>
      <c r="D39" s="17">
        <f t="shared" ref="D39:J39" si="10">D37*(1-D38)</f>
        <v>156335.4</v>
      </c>
      <c r="E39" s="17">
        <f t="shared" si="10"/>
        <v>195923.4</v>
      </c>
      <c r="F39" s="17">
        <f t="shared" si="10"/>
        <v>464437.8</v>
      </c>
      <c r="G39" s="17">
        <f t="shared" si="10"/>
        <v>534648</v>
      </c>
      <c r="H39" s="17">
        <f t="shared" si="10"/>
        <v>222786</v>
      </c>
      <c r="I39" s="17">
        <f t="shared" si="10"/>
        <v>257524.19999999998</v>
      </c>
      <c r="J39" s="17">
        <f t="shared" si="10"/>
        <v>192306.6</v>
      </c>
    </row>
    <row r="41" spans="2:10" ht="12.5" x14ac:dyDescent="0.25">
      <c r="B41" s="16" t="s">
        <v>191</v>
      </c>
      <c r="E41" s="17">
        <f t="shared" ref="E41:J41" si="11">SUM(E34:E35)</f>
        <v>90611</v>
      </c>
      <c r="F41" s="17">
        <f t="shared" si="11"/>
        <v>70341</v>
      </c>
      <c r="G41" s="17">
        <f t="shared" si="11"/>
        <v>616144</v>
      </c>
      <c r="H41" s="17">
        <f t="shared" si="11"/>
        <v>510607</v>
      </c>
      <c r="I41" s="17">
        <f t="shared" si="11"/>
        <v>311588</v>
      </c>
      <c r="J41" s="17">
        <f t="shared" si="11"/>
        <v>683175</v>
      </c>
    </row>
    <row r="42" spans="2:10" ht="13" x14ac:dyDescent="0.3">
      <c r="B42" s="50" t="s">
        <v>192</v>
      </c>
      <c r="C42" s="50"/>
      <c r="D42" s="50"/>
      <c r="E42" s="54">
        <f t="shared" ref="E42:J42" si="12">E41/E39</f>
        <v>0.46248176583297351</v>
      </c>
      <c r="F42" s="54">
        <f t="shared" si="12"/>
        <v>0.15145408061100971</v>
      </c>
      <c r="G42" s="54">
        <f t="shared" si="12"/>
        <v>1.1524292618694918</v>
      </c>
      <c r="H42" s="54">
        <f t="shared" si="12"/>
        <v>2.2919169068074297</v>
      </c>
      <c r="I42" s="54">
        <f t="shared" si="12"/>
        <v>1.2099367748739731</v>
      </c>
      <c r="J42" s="54">
        <f t="shared" si="12"/>
        <v>3.5525301783714132</v>
      </c>
    </row>
    <row r="43" spans="2:10" ht="12.5" x14ac:dyDescent="0.25">
      <c r="B43" s="16" t="s">
        <v>193</v>
      </c>
      <c r="J43" s="15">
        <f>AVERAGE(E42:J42)</f>
        <v>1.4701248280610484</v>
      </c>
    </row>
    <row r="44" spans="2:10" ht="12.5" x14ac:dyDescent="0.25">
      <c r="B44" s="16" t="s">
        <v>194</v>
      </c>
      <c r="J44" s="15">
        <f>MEDIAN(E42:J42)</f>
        <v>1.1811830183717325</v>
      </c>
    </row>
    <row r="46" spans="2:10" ht="13" x14ac:dyDescent="0.3">
      <c r="B46" s="50" t="s">
        <v>195</v>
      </c>
      <c r="C46" s="55"/>
      <c r="D46" s="55"/>
      <c r="E46" s="54">
        <f t="shared" ref="E46:J46" si="13">E42*E32</f>
        <v>0.30926353699926551</v>
      </c>
      <c r="F46" s="54">
        <f t="shared" si="13"/>
        <v>0.19742414827313862</v>
      </c>
      <c r="G46" s="54">
        <f t="shared" si="13"/>
        <v>0.74389376975204202</v>
      </c>
      <c r="H46" s="54">
        <f t="shared" si="13"/>
        <v>0.47734422254069669</v>
      </c>
      <c r="I46" s="54">
        <f t="shared" si="13"/>
        <v>0.26409088466564518</v>
      </c>
      <c r="J46" s="54">
        <f t="shared" si="13"/>
        <v>0.44580841230538887</v>
      </c>
    </row>
    <row r="47" spans="2:10" ht="12.5" x14ac:dyDescent="0.25">
      <c r="B47" s="16" t="s">
        <v>193</v>
      </c>
      <c r="J47" s="15">
        <f>AVERAGE(E46:J46)</f>
        <v>0.40630416242269612</v>
      </c>
    </row>
    <row r="48" spans="2:10" ht="12.5" x14ac:dyDescent="0.25">
      <c r="B48" s="16" t="s">
        <v>194</v>
      </c>
      <c r="J48" s="15">
        <f>MEDIAN(E46:J46)</f>
        <v>0.37753597465232719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Z42"/>
  <sheetViews>
    <sheetView showGridLines="0" workbookViewId="0">
      <selection activeCell="J16" sqref="J16"/>
    </sheetView>
  </sheetViews>
  <sheetFormatPr defaultColWidth="12.6328125" defaultRowHeight="15.75" customHeight="1" x14ac:dyDescent="0.25"/>
  <cols>
    <col min="1" max="1" width="4.453125" customWidth="1"/>
    <col min="2" max="2" width="42.6328125" customWidth="1"/>
  </cols>
  <sheetData>
    <row r="2" spans="2:17" ht="15.75" customHeight="1" x14ac:dyDescent="0.3">
      <c r="B2" s="11" t="s">
        <v>196</v>
      </c>
    </row>
    <row r="4" spans="2:17" ht="15.75" customHeight="1" x14ac:dyDescent="0.3">
      <c r="B4" s="3" t="s">
        <v>1</v>
      </c>
      <c r="C4" s="3"/>
      <c r="D4" s="4">
        <v>2019</v>
      </c>
      <c r="E4" s="5">
        <f t="shared" ref="E4:O4" si="0">D4+1</f>
        <v>2020</v>
      </c>
      <c r="F4" s="5">
        <f t="shared" si="0"/>
        <v>2021</v>
      </c>
      <c r="G4" s="5">
        <f t="shared" si="0"/>
        <v>2022</v>
      </c>
      <c r="H4" s="5">
        <f t="shared" si="0"/>
        <v>2023</v>
      </c>
      <c r="I4" s="5">
        <f t="shared" si="0"/>
        <v>2024</v>
      </c>
      <c r="J4" s="5">
        <f t="shared" si="0"/>
        <v>2025</v>
      </c>
      <c r="K4" s="56">
        <f t="shared" si="0"/>
        <v>2026</v>
      </c>
      <c r="L4" s="56">
        <f t="shared" si="0"/>
        <v>2027</v>
      </c>
      <c r="M4" s="56">
        <f t="shared" si="0"/>
        <v>2028</v>
      </c>
      <c r="N4" s="56">
        <f t="shared" si="0"/>
        <v>2029</v>
      </c>
      <c r="O4" s="56">
        <f t="shared" si="0"/>
        <v>2030</v>
      </c>
    </row>
    <row r="5" spans="2:17" ht="15.75" customHeight="1" x14ac:dyDescent="0.25">
      <c r="B5" s="16" t="s">
        <v>197</v>
      </c>
      <c r="E5" s="17">
        <f t="shared" ref="E5:O5" si="1">D8</f>
        <v>224123</v>
      </c>
      <c r="F5" s="17">
        <f t="shared" si="1"/>
        <v>365470</v>
      </c>
      <c r="G5" s="17">
        <f t="shared" si="1"/>
        <v>504985</v>
      </c>
      <c r="H5" s="17">
        <f t="shared" si="1"/>
        <v>1070030</v>
      </c>
      <c r="I5" s="17">
        <f t="shared" si="1"/>
        <v>1261968</v>
      </c>
      <c r="J5" s="17">
        <f t="shared" si="1"/>
        <v>1545961</v>
      </c>
      <c r="K5" s="17">
        <f t="shared" si="1"/>
        <v>2046406</v>
      </c>
      <c r="L5" s="17">
        <f t="shared" si="1"/>
        <v>2375148.7691392838</v>
      </c>
      <c r="M5" s="17">
        <f t="shared" si="1"/>
        <v>2671160.9436393972</v>
      </c>
      <c r="N5" s="17">
        <f t="shared" si="1"/>
        <v>2928406.9630565932</v>
      </c>
      <c r="O5" s="17">
        <f t="shared" si="1"/>
        <v>3141285.0076129572</v>
      </c>
    </row>
    <row r="6" spans="2:17" ht="15.75" customHeight="1" x14ac:dyDescent="0.25">
      <c r="B6" s="16" t="s">
        <v>198</v>
      </c>
      <c r="E6" s="17">
        <f t="shared" ref="E6:J6" si="2">E8-E5-E7</f>
        <v>167436</v>
      </c>
      <c r="F6" s="17">
        <f t="shared" si="2"/>
        <v>174791</v>
      </c>
      <c r="G6" s="17">
        <f t="shared" si="2"/>
        <v>620440</v>
      </c>
      <c r="H6" s="17">
        <f t="shared" si="2"/>
        <v>272128</v>
      </c>
      <c r="I6" s="17">
        <f t="shared" si="2"/>
        <v>388793</v>
      </c>
      <c r="J6" s="17">
        <f t="shared" si="2"/>
        <v>611979</v>
      </c>
      <c r="K6" s="17">
        <f>K12*'Final Income Statement'!K6</f>
        <v>502829.15657864942</v>
      </c>
      <c r="L6" s="17">
        <f>L12*'Final Income Statement'!L6</f>
        <v>504554.40801186685</v>
      </c>
      <c r="M6" s="17">
        <f>M12*'Final Income Statement'!M6</f>
        <v>499928.17515937006</v>
      </c>
      <c r="N6" s="17">
        <f>N12*'Final Income Statement'!N6</f>
        <v>488950.45802115882</v>
      </c>
      <c r="O6" s="17">
        <f>O12*'Final Income Statement'!O6</f>
        <v>471621.25659723341</v>
      </c>
    </row>
    <row r="7" spans="2:17" ht="15.75" customHeight="1" x14ac:dyDescent="0.25">
      <c r="B7" s="16" t="s">
        <v>63</v>
      </c>
      <c r="E7" s="57">
        <v>-26089</v>
      </c>
      <c r="F7" s="57">
        <v>-35276</v>
      </c>
      <c r="G7" s="57">
        <v>-55395</v>
      </c>
      <c r="H7" s="57">
        <v>-80190</v>
      </c>
      <c r="I7" s="57">
        <v>-104800</v>
      </c>
      <c r="J7" s="57">
        <v>-111534</v>
      </c>
      <c r="K7" s="17">
        <f t="shared" ref="K7:O7" si="3">-K27</f>
        <v>-174086.3874393655</v>
      </c>
      <c r="L7" s="17">
        <f t="shared" si="3"/>
        <v>-208542.23351175338</v>
      </c>
      <c r="M7" s="17">
        <f t="shared" si="3"/>
        <v>-242682.15574217396</v>
      </c>
      <c r="N7" s="17">
        <f t="shared" si="3"/>
        <v>-276072.41346479475</v>
      </c>
      <c r="O7" s="17">
        <f t="shared" si="3"/>
        <v>-308279.26601378334</v>
      </c>
    </row>
    <row r="8" spans="2:17" ht="15.75" customHeight="1" x14ac:dyDescent="0.25">
      <c r="B8" s="16" t="s">
        <v>199</v>
      </c>
      <c r="D8" s="17">
        <f>Historicals!D31</f>
        <v>224123</v>
      </c>
      <c r="E8" s="17">
        <f>Historicals!E31</f>
        <v>365470</v>
      </c>
      <c r="F8" s="17">
        <f>Historicals!F31</f>
        <v>504985</v>
      </c>
      <c r="G8" s="17">
        <f>Historicals!G31</f>
        <v>1070030</v>
      </c>
      <c r="H8" s="17">
        <f>Historicals!H31</f>
        <v>1261968</v>
      </c>
      <c r="I8" s="17">
        <f>Historicals!I31</f>
        <v>1545961</v>
      </c>
      <c r="J8" s="17">
        <f>Historicals!J31</f>
        <v>2046406</v>
      </c>
      <c r="K8" s="17">
        <f t="shared" ref="K8:O8" si="4">SUM(K5:K7)</f>
        <v>2375148.7691392838</v>
      </c>
      <c r="L8" s="17">
        <f t="shared" si="4"/>
        <v>2671160.9436393972</v>
      </c>
      <c r="M8" s="17">
        <f t="shared" si="4"/>
        <v>2928406.9630565932</v>
      </c>
      <c r="N8" s="17">
        <f t="shared" si="4"/>
        <v>3141285.0076129572</v>
      </c>
      <c r="O8" s="17">
        <f t="shared" si="4"/>
        <v>3304626.9981964072</v>
      </c>
    </row>
    <row r="11" spans="2:17" ht="15.75" customHeight="1" x14ac:dyDescent="0.25">
      <c r="B11" s="16" t="s">
        <v>200</v>
      </c>
      <c r="E11" s="15">
        <f t="shared" ref="E11:O11" si="5">E6/E5</f>
        <v>0.7470719203294619</v>
      </c>
      <c r="F11" s="15">
        <f t="shared" si="5"/>
        <v>0.47826360576791527</v>
      </c>
      <c r="G11" s="15">
        <f t="shared" si="5"/>
        <v>1.2286305533827737</v>
      </c>
      <c r="H11" s="15">
        <f t="shared" si="5"/>
        <v>0.25431810323075055</v>
      </c>
      <c r="I11" s="15">
        <f t="shared" si="5"/>
        <v>0.30808467409633206</v>
      </c>
      <c r="J11" s="15">
        <f t="shared" si="5"/>
        <v>0.39585668719974176</v>
      </c>
      <c r="K11" s="15">
        <f t="shared" si="5"/>
        <v>0.24571329275747306</v>
      </c>
      <c r="L11" s="15">
        <f t="shared" si="5"/>
        <v>0.21243065468893108</v>
      </c>
      <c r="M11" s="15">
        <f t="shared" si="5"/>
        <v>0.18715763883483152</v>
      </c>
      <c r="N11" s="15">
        <f t="shared" si="5"/>
        <v>0.16696806973536402</v>
      </c>
      <c r="O11" s="15">
        <f t="shared" si="5"/>
        <v>0.15013641088097748</v>
      </c>
    </row>
    <row r="12" spans="2:17" ht="15.75" customHeight="1" x14ac:dyDescent="0.3">
      <c r="B12" s="16" t="s">
        <v>201</v>
      </c>
      <c r="E12" s="15">
        <f>E6/Historicals!E5</f>
        <v>0.21327090280555253</v>
      </c>
      <c r="F12" s="15">
        <f>F6/Historicals!F5</f>
        <v>0.1363621115371563</v>
      </c>
      <c r="G12" s="15">
        <f>G6/Historicals!G5</f>
        <v>0.42472443295002893</v>
      </c>
      <c r="H12" s="15">
        <f>H6/Historicals!H5</f>
        <v>0.1950615301687062</v>
      </c>
      <c r="I12" s="15">
        <f>I6/Historicals!I5</f>
        <v>0.25506431174038602</v>
      </c>
      <c r="J12" s="15">
        <f>J6/Historicals!J5</f>
        <v>0.38092057720161909</v>
      </c>
      <c r="K12" s="15">
        <f>AVERAGE(E12:J12)</f>
        <v>0.26756731106724146</v>
      </c>
      <c r="L12" s="15">
        <f t="shared" ref="L12:O12" si="6">K12-$P$12</f>
        <v>0.24756731106724147</v>
      </c>
      <c r="M12" s="15">
        <f t="shared" si="6"/>
        <v>0.22756731106724148</v>
      </c>
      <c r="N12" s="15">
        <f t="shared" si="6"/>
        <v>0.20756731106724149</v>
      </c>
      <c r="O12" s="15">
        <f t="shared" si="6"/>
        <v>0.1875673110672415</v>
      </c>
      <c r="P12" s="52">
        <v>0.02</v>
      </c>
      <c r="Q12" s="11" t="s">
        <v>202</v>
      </c>
    </row>
    <row r="16" spans="2:17" ht="15.75" customHeight="1" x14ac:dyDescent="0.3">
      <c r="B16" s="11" t="s">
        <v>203</v>
      </c>
    </row>
    <row r="18" spans="2:26" ht="15.75" customHeight="1" x14ac:dyDescent="0.25">
      <c r="B18" s="16" t="s">
        <v>204</v>
      </c>
      <c r="C18" s="43">
        <f>F42</f>
        <v>14.643506560595101</v>
      </c>
    </row>
    <row r="20" spans="2:26" ht="15.75" customHeight="1" x14ac:dyDescent="0.3">
      <c r="B20" s="3" t="s">
        <v>1</v>
      </c>
      <c r="C20" s="12"/>
      <c r="D20" s="12"/>
      <c r="E20" s="12"/>
      <c r="F20" s="12"/>
      <c r="G20" s="12"/>
      <c r="H20" s="12"/>
      <c r="I20" s="12"/>
      <c r="J20" s="5">
        <v>2025</v>
      </c>
      <c r="K20" s="56">
        <f t="shared" ref="K20:O20" si="7">J20+1</f>
        <v>2026</v>
      </c>
      <c r="L20" s="56">
        <f t="shared" si="7"/>
        <v>2027</v>
      </c>
      <c r="M20" s="56">
        <f t="shared" si="7"/>
        <v>2028</v>
      </c>
      <c r="N20" s="56">
        <f t="shared" si="7"/>
        <v>2029</v>
      </c>
      <c r="O20" s="56">
        <f t="shared" si="7"/>
        <v>2030</v>
      </c>
    </row>
    <row r="21" spans="2:26" ht="12.5" x14ac:dyDescent="0.25">
      <c r="K21" s="17">
        <f t="shared" ref="K21:O21" si="8">$K$5/$C$18</f>
        <v>139748.35819084276</v>
      </c>
      <c r="L21" s="17">
        <f t="shared" si="8"/>
        <v>139748.35819084276</v>
      </c>
      <c r="M21" s="17">
        <f t="shared" si="8"/>
        <v>139748.35819084276</v>
      </c>
      <c r="N21" s="17">
        <f t="shared" si="8"/>
        <v>139748.35819084276</v>
      </c>
      <c r="O21" s="17">
        <f t="shared" si="8"/>
        <v>139748.35819084276</v>
      </c>
    </row>
    <row r="22" spans="2:26" ht="12.5" x14ac:dyDescent="0.25">
      <c r="K22" s="17">
        <f t="shared" ref="K22:O22" si="9">$K$6/$C$18</f>
        <v>34338.029248522755</v>
      </c>
      <c r="L22" s="17">
        <f t="shared" si="9"/>
        <v>34338.029248522755</v>
      </c>
      <c r="M22" s="17">
        <f t="shared" si="9"/>
        <v>34338.029248522755</v>
      </c>
      <c r="N22" s="17">
        <f t="shared" si="9"/>
        <v>34338.029248522755</v>
      </c>
      <c r="O22" s="17">
        <f t="shared" si="9"/>
        <v>34338.029248522755</v>
      </c>
    </row>
    <row r="23" spans="2:26" ht="12.5" x14ac:dyDescent="0.25">
      <c r="L23" s="17">
        <f t="shared" ref="L23:O23" si="10">$L$6/$C$18</f>
        <v>34455.846072387882</v>
      </c>
      <c r="M23" s="17">
        <f t="shared" si="10"/>
        <v>34455.846072387882</v>
      </c>
      <c r="N23" s="17">
        <f t="shared" si="10"/>
        <v>34455.846072387882</v>
      </c>
      <c r="O23" s="17">
        <f t="shared" si="10"/>
        <v>34455.846072387882</v>
      </c>
    </row>
    <row r="24" spans="2:26" ht="12.5" x14ac:dyDescent="0.25">
      <c r="L24" s="17"/>
      <c r="M24" s="17">
        <f t="shared" ref="M24:O24" si="11">$M$6/$C$18</f>
        <v>34139.922230420561</v>
      </c>
      <c r="N24" s="17">
        <f t="shared" si="11"/>
        <v>34139.922230420561</v>
      </c>
      <c r="O24" s="17">
        <f t="shared" si="11"/>
        <v>34139.922230420561</v>
      </c>
    </row>
    <row r="25" spans="2:26" ht="12.5" x14ac:dyDescent="0.25">
      <c r="L25" s="17"/>
      <c r="M25" s="17"/>
      <c r="N25" s="17">
        <f t="shared" ref="N25:O25" si="12">$N$6/$C$18</f>
        <v>33390.257722620794</v>
      </c>
      <c r="O25" s="17">
        <f t="shared" si="12"/>
        <v>33390.257722620794</v>
      </c>
    </row>
    <row r="26" spans="2:26" ht="12.5" x14ac:dyDescent="0.25">
      <c r="K26" s="48"/>
      <c r="L26" s="17"/>
      <c r="M26" s="17"/>
      <c r="N26" s="17"/>
      <c r="O26" s="17">
        <f>$O$6/$C$18</f>
        <v>32206.852548988587</v>
      </c>
    </row>
    <row r="27" spans="2:26" ht="13" x14ac:dyDescent="0.3">
      <c r="B27" s="11" t="s">
        <v>205</v>
      </c>
      <c r="K27" s="18">
        <f t="shared" ref="K27:O27" si="13">SUM(K21:K26)</f>
        <v>174086.3874393655</v>
      </c>
      <c r="L27" s="18">
        <f t="shared" si="13"/>
        <v>208542.23351175338</v>
      </c>
      <c r="M27" s="18">
        <f t="shared" si="13"/>
        <v>242682.15574217396</v>
      </c>
      <c r="N27" s="18">
        <f t="shared" si="13"/>
        <v>276072.41346479475</v>
      </c>
      <c r="O27" s="18">
        <f t="shared" si="13"/>
        <v>308279.26601378334</v>
      </c>
    </row>
    <row r="28" spans="2:26" ht="13" x14ac:dyDescent="0.3">
      <c r="K28" s="18"/>
      <c r="L28" s="18"/>
      <c r="M28" s="18"/>
      <c r="N28" s="18"/>
      <c r="O28" s="18"/>
    </row>
    <row r="29" spans="2:26" ht="13" x14ac:dyDescent="0.3"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1" spans="2:26" ht="13" x14ac:dyDescent="0.3">
      <c r="B31" s="11" t="s">
        <v>206</v>
      </c>
      <c r="C31" s="42" t="s">
        <v>207</v>
      </c>
      <c r="D31" s="42" t="s">
        <v>208</v>
      </c>
      <c r="E31" s="42" t="s">
        <v>209</v>
      </c>
      <c r="F31" s="77" t="s">
        <v>210</v>
      </c>
      <c r="G31" s="74"/>
    </row>
    <row r="32" spans="2:26" ht="12.5" x14ac:dyDescent="0.25">
      <c r="B32" s="16" t="s">
        <v>211</v>
      </c>
      <c r="C32" s="23">
        <v>15</v>
      </c>
      <c r="D32" s="17">
        <v>92532</v>
      </c>
      <c r="E32" s="47">
        <f t="shared" ref="E32:E41" si="14">D32/$D$42</f>
        <v>0.59750490753176977</v>
      </c>
      <c r="F32" s="73">
        <f t="shared" ref="F32:F41" si="15">E32*C32</f>
        <v>8.9625736129765468</v>
      </c>
      <c r="G32" s="74"/>
    </row>
    <row r="33" spans="2:7" ht="12.5" x14ac:dyDescent="0.25">
      <c r="B33" s="16" t="s">
        <v>212</v>
      </c>
      <c r="C33" s="23">
        <v>18</v>
      </c>
      <c r="D33" s="17">
        <v>3933</v>
      </c>
      <c r="E33" s="47">
        <f t="shared" si="14"/>
        <v>2.5396476908771566E-2</v>
      </c>
      <c r="F33" s="73">
        <f t="shared" si="15"/>
        <v>0.45713658435788818</v>
      </c>
      <c r="G33" s="74"/>
    </row>
    <row r="34" spans="2:7" ht="12.5" x14ac:dyDescent="0.25">
      <c r="B34" s="16" t="s">
        <v>213</v>
      </c>
      <c r="C34" s="23">
        <v>20</v>
      </c>
      <c r="D34" s="17">
        <v>15949</v>
      </c>
      <c r="E34" s="47">
        <f t="shared" si="14"/>
        <v>0.10298713710094018</v>
      </c>
      <c r="F34" s="73">
        <f t="shared" si="15"/>
        <v>2.0597427420188037</v>
      </c>
      <c r="G34" s="74"/>
    </row>
    <row r="35" spans="2:7" ht="12.5" x14ac:dyDescent="0.25">
      <c r="B35" s="16" t="s">
        <v>214</v>
      </c>
      <c r="C35" s="23">
        <v>25</v>
      </c>
      <c r="D35" s="17">
        <v>0</v>
      </c>
      <c r="E35" s="17">
        <f t="shared" si="14"/>
        <v>0</v>
      </c>
      <c r="F35" s="78">
        <f t="shared" si="15"/>
        <v>0</v>
      </c>
      <c r="G35" s="74"/>
    </row>
    <row r="36" spans="2:7" ht="12.5" x14ac:dyDescent="0.25">
      <c r="B36" s="16" t="s">
        <v>215</v>
      </c>
      <c r="C36" s="23">
        <v>12</v>
      </c>
      <c r="D36" s="17">
        <v>20244</v>
      </c>
      <c r="E36" s="47">
        <f t="shared" si="14"/>
        <v>0.13072114887901642</v>
      </c>
      <c r="F36" s="73">
        <f t="shared" si="15"/>
        <v>1.5686537865481971</v>
      </c>
      <c r="G36" s="74"/>
    </row>
    <row r="37" spans="2:7" ht="12.5" x14ac:dyDescent="0.25">
      <c r="B37" s="16" t="s">
        <v>216</v>
      </c>
      <c r="C37" s="23">
        <v>8</v>
      </c>
      <c r="D37" s="17">
        <v>7410</v>
      </c>
      <c r="E37" s="47">
        <f t="shared" si="14"/>
        <v>4.7848434755656574E-2</v>
      </c>
      <c r="F37" s="73">
        <f t="shared" si="15"/>
        <v>0.38278747804525259</v>
      </c>
      <c r="G37" s="74"/>
    </row>
    <row r="38" spans="2:7" ht="12.5" x14ac:dyDescent="0.25">
      <c r="B38" s="16" t="s">
        <v>217</v>
      </c>
      <c r="C38" s="23">
        <v>15</v>
      </c>
      <c r="D38" s="17">
        <v>646</v>
      </c>
      <c r="E38" s="47">
        <f t="shared" si="14"/>
        <v>4.1714020043392913E-3</v>
      </c>
      <c r="F38" s="73">
        <f t="shared" si="15"/>
        <v>6.2571030065089364E-2</v>
      </c>
      <c r="G38" s="74"/>
    </row>
    <row r="39" spans="2:7" ht="12.5" x14ac:dyDescent="0.25">
      <c r="B39" s="16" t="s">
        <v>218</v>
      </c>
      <c r="C39" s="23">
        <v>10</v>
      </c>
      <c r="D39" s="17">
        <v>5255</v>
      </c>
      <c r="E39" s="47">
        <f t="shared" si="14"/>
        <v>3.3932999276784795E-2</v>
      </c>
      <c r="F39" s="73">
        <f t="shared" si="15"/>
        <v>0.33932999276784792</v>
      </c>
      <c r="G39" s="74"/>
    </row>
    <row r="40" spans="2:7" ht="12.5" x14ac:dyDescent="0.25">
      <c r="B40" s="16" t="s">
        <v>219</v>
      </c>
      <c r="C40" s="23">
        <v>20</v>
      </c>
      <c r="D40" s="17">
        <v>5405</v>
      </c>
      <c r="E40" s="47">
        <f t="shared" si="14"/>
        <v>3.4901591073457999E-2</v>
      </c>
      <c r="F40" s="73">
        <f t="shared" si="15"/>
        <v>0.69803182146915999</v>
      </c>
      <c r="G40" s="74"/>
    </row>
    <row r="41" spans="2:7" ht="12.5" x14ac:dyDescent="0.25">
      <c r="B41" s="16" t="s">
        <v>220</v>
      </c>
      <c r="C41" s="23">
        <v>5</v>
      </c>
      <c r="D41" s="17">
        <v>3490</v>
      </c>
      <c r="E41" s="47">
        <f t="shared" si="14"/>
        <v>2.2535902469263354E-2</v>
      </c>
      <c r="F41" s="73">
        <f t="shared" si="15"/>
        <v>0.11267951234631676</v>
      </c>
      <c r="G41" s="74"/>
    </row>
    <row r="42" spans="2:7" ht="13" x14ac:dyDescent="0.3">
      <c r="B42" s="55" t="s">
        <v>221</v>
      </c>
      <c r="C42" s="58"/>
      <c r="D42" s="59">
        <f t="shared" ref="D42:F42" si="16">SUM(D32:D41)</f>
        <v>154864</v>
      </c>
      <c r="E42" s="60">
        <f t="shared" si="16"/>
        <v>1</v>
      </c>
      <c r="F42" s="75">
        <f t="shared" si="16"/>
        <v>14.643506560595101</v>
      </c>
      <c r="G42" s="76"/>
    </row>
  </sheetData>
  <mergeCells count="12">
    <mergeCell ref="F36:G36"/>
    <mergeCell ref="F37:G37"/>
    <mergeCell ref="F31:G31"/>
    <mergeCell ref="F32:G32"/>
    <mergeCell ref="F33:G33"/>
    <mergeCell ref="F34:G34"/>
    <mergeCell ref="F35:G35"/>
    <mergeCell ref="F38:G38"/>
    <mergeCell ref="F39:G39"/>
    <mergeCell ref="F40:G40"/>
    <mergeCell ref="F41:G41"/>
    <mergeCell ref="F42:G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35"/>
  <sheetViews>
    <sheetView showGridLines="0" workbookViewId="0">
      <selection activeCell="J11" sqref="J11:O11"/>
    </sheetView>
  </sheetViews>
  <sheetFormatPr defaultColWidth="12.6328125" defaultRowHeight="15.75" customHeight="1" x14ac:dyDescent="0.25"/>
  <cols>
    <col min="1" max="1" width="4.453125" customWidth="1"/>
    <col min="2" max="2" width="42.6328125" customWidth="1"/>
  </cols>
  <sheetData>
    <row r="1" spans="1:17" ht="15.75" customHeight="1" x14ac:dyDescent="0.3">
      <c r="A1" s="11"/>
      <c r="B1" s="11"/>
    </row>
    <row r="2" spans="1:17" ht="15.75" customHeight="1" x14ac:dyDescent="0.3">
      <c r="A2" s="11"/>
      <c r="B2" s="11" t="s">
        <v>30</v>
      </c>
    </row>
    <row r="4" spans="1:17" ht="15.75" customHeight="1" x14ac:dyDescent="0.3">
      <c r="A4" s="1"/>
      <c r="B4" s="3" t="s">
        <v>1</v>
      </c>
      <c r="C4" s="3"/>
      <c r="D4" s="4">
        <v>2019</v>
      </c>
      <c r="E4" s="5">
        <f t="shared" ref="E4:O4" si="0">D4+1</f>
        <v>2020</v>
      </c>
      <c r="F4" s="5">
        <f t="shared" si="0"/>
        <v>2021</v>
      </c>
      <c r="G4" s="5">
        <f t="shared" si="0"/>
        <v>2022</v>
      </c>
      <c r="H4" s="5">
        <f t="shared" si="0"/>
        <v>2023</v>
      </c>
      <c r="I4" s="5">
        <f t="shared" si="0"/>
        <v>2024</v>
      </c>
      <c r="J4" s="5">
        <f t="shared" si="0"/>
        <v>2025</v>
      </c>
      <c r="K4" s="56">
        <f t="shared" si="0"/>
        <v>2026</v>
      </c>
      <c r="L4" s="56">
        <f t="shared" si="0"/>
        <v>2027</v>
      </c>
      <c r="M4" s="56">
        <f t="shared" si="0"/>
        <v>2028</v>
      </c>
      <c r="N4" s="56">
        <f t="shared" si="0"/>
        <v>2029</v>
      </c>
      <c r="O4" s="56">
        <f t="shared" si="0"/>
        <v>2030</v>
      </c>
    </row>
    <row r="5" spans="1:17" ht="15.75" customHeight="1" x14ac:dyDescent="0.25">
      <c r="A5" s="16"/>
      <c r="B5" s="16" t="s">
        <v>197</v>
      </c>
      <c r="E5" s="17">
        <f t="shared" ref="E5:O5" si="1">D8</f>
        <v>1472</v>
      </c>
      <c r="F5" s="17">
        <f t="shared" si="1"/>
        <v>6070</v>
      </c>
      <c r="G5" s="17">
        <f t="shared" si="1"/>
        <v>6257</v>
      </c>
      <c r="H5" s="17">
        <f t="shared" si="1"/>
        <v>8545</v>
      </c>
      <c r="I5" s="17">
        <f t="shared" si="1"/>
        <v>7866</v>
      </c>
      <c r="J5" s="17">
        <f t="shared" si="1"/>
        <v>5172</v>
      </c>
      <c r="K5" s="17">
        <f t="shared" si="1"/>
        <v>5219</v>
      </c>
      <c r="L5" s="17">
        <f t="shared" si="1"/>
        <v>6245.6713979316864</v>
      </c>
      <c r="M5" s="17">
        <f t="shared" si="1"/>
        <v>6616.8138054921183</v>
      </c>
      <c r="N5" s="17">
        <f t="shared" si="1"/>
        <v>6836.3325792213236</v>
      </c>
      <c r="O5" s="17">
        <f t="shared" si="1"/>
        <v>6572.0747771558581</v>
      </c>
    </row>
    <row r="6" spans="1:17" ht="15.75" customHeight="1" x14ac:dyDescent="0.25">
      <c r="A6" s="16"/>
      <c r="B6" s="16" t="s">
        <v>198</v>
      </c>
      <c r="E6" s="17">
        <f t="shared" ref="E6:H6" si="2">E8-E5-E7</f>
        <v>3683</v>
      </c>
      <c r="F6" s="17">
        <f t="shared" si="2"/>
        <v>-1331</v>
      </c>
      <c r="G6" s="17">
        <f t="shared" si="2"/>
        <v>4870</v>
      </c>
      <c r="H6" s="17">
        <f t="shared" si="2"/>
        <v>2455</v>
      </c>
      <c r="I6" s="17">
        <f>I8-I5-I7-5673</f>
        <v>-5243</v>
      </c>
      <c r="J6" s="17">
        <f>J8-J5-J7</f>
        <v>1568</v>
      </c>
      <c r="K6" s="17">
        <f>'Final Income Statement'!K6*K12</f>
        <v>2570.5794421790611</v>
      </c>
      <c r="L6" s="17">
        <f>'Final Income Statement'!L6*L12</f>
        <v>2388.4442007432312</v>
      </c>
      <c r="M6" s="17">
        <f>'Final Income Statement'!M6*M12</f>
        <v>2789.7547587327695</v>
      </c>
      <c r="N6" s="17">
        <f>'Final Income Statement'!N6*N12</f>
        <v>2876.0078946638982</v>
      </c>
      <c r="O6" s="17">
        <f>'Final Income Statement'!O6*O12</f>
        <v>3008.2887891753944</v>
      </c>
    </row>
    <row r="7" spans="1:17" ht="15.75" customHeight="1" x14ac:dyDescent="0.25">
      <c r="A7" s="16"/>
      <c r="B7" s="16" t="s">
        <v>63</v>
      </c>
      <c r="E7" s="57">
        <v>915</v>
      </c>
      <c r="F7" s="57">
        <v>1518</v>
      </c>
      <c r="G7" s="57">
        <v>-2582</v>
      </c>
      <c r="H7" s="57">
        <v>-3134</v>
      </c>
      <c r="I7" s="57">
        <v>-3124</v>
      </c>
      <c r="J7" s="57">
        <v>-1521</v>
      </c>
      <c r="K7" s="17">
        <f t="shared" ref="K7:O7" si="3">-K28</f>
        <v>-1543.9080442473746</v>
      </c>
      <c r="L7" s="17">
        <f t="shared" si="3"/>
        <v>-2017.3017931828001</v>
      </c>
      <c r="M7" s="17">
        <f t="shared" si="3"/>
        <v>-2570.2359850035641</v>
      </c>
      <c r="N7" s="17">
        <f t="shared" si="3"/>
        <v>-3140.2656967293642</v>
      </c>
      <c r="O7" s="17">
        <f t="shared" si="3"/>
        <v>-3736.5137092828923</v>
      </c>
    </row>
    <row r="8" spans="1:17" ht="15.75" customHeight="1" x14ac:dyDescent="0.3">
      <c r="A8" s="11"/>
      <c r="B8" s="11" t="s">
        <v>199</v>
      </c>
      <c r="C8" s="11"/>
      <c r="D8" s="18">
        <f>Historicals!D33</f>
        <v>1472</v>
      </c>
      <c r="E8" s="18">
        <f>Historicals!E33</f>
        <v>6070</v>
      </c>
      <c r="F8" s="18">
        <f>Historicals!F33</f>
        <v>6257</v>
      </c>
      <c r="G8" s="18">
        <f>Historicals!G33</f>
        <v>8545</v>
      </c>
      <c r="H8" s="18">
        <f>Historicals!H33</f>
        <v>7866</v>
      </c>
      <c r="I8" s="18">
        <f>Historicals!I33</f>
        <v>5172</v>
      </c>
      <c r="J8" s="18">
        <f>Historicals!J33</f>
        <v>5219</v>
      </c>
      <c r="K8" s="18">
        <f t="shared" ref="K8:O8" si="4">SUM(K5:K7)</f>
        <v>6245.6713979316864</v>
      </c>
      <c r="L8" s="18">
        <f t="shared" si="4"/>
        <v>6616.8138054921183</v>
      </c>
      <c r="M8" s="18">
        <f t="shared" si="4"/>
        <v>6836.3325792213236</v>
      </c>
      <c r="N8" s="18">
        <f t="shared" si="4"/>
        <v>6572.0747771558581</v>
      </c>
      <c r="O8" s="18">
        <f t="shared" si="4"/>
        <v>5843.8498570483607</v>
      </c>
    </row>
    <row r="11" spans="1:17" ht="15.75" customHeight="1" x14ac:dyDescent="0.25">
      <c r="A11" s="16"/>
      <c r="B11" s="16" t="s">
        <v>222</v>
      </c>
      <c r="E11" s="15">
        <f t="shared" ref="E11:O11" si="5">E6/E5</f>
        <v>2.5020380434782608</v>
      </c>
      <c r="F11" s="15">
        <f t="shared" si="5"/>
        <v>-0.21927512355848436</v>
      </c>
      <c r="G11" s="15">
        <f t="shared" si="5"/>
        <v>0.77832827233498481</v>
      </c>
      <c r="H11" s="15">
        <f t="shared" si="5"/>
        <v>0.28730251609128143</v>
      </c>
      <c r="I11" s="15">
        <f t="shared" si="5"/>
        <v>-0.66653953724891934</v>
      </c>
      <c r="J11" s="15">
        <f t="shared" si="5"/>
        <v>0.30317092034029391</v>
      </c>
      <c r="K11" s="15">
        <f t="shared" si="5"/>
        <v>0.49254252580552998</v>
      </c>
      <c r="L11" s="15">
        <f t="shared" si="5"/>
        <v>0.38241592433668337</v>
      </c>
      <c r="M11" s="15">
        <f t="shared" si="5"/>
        <v>0.42161602861141484</v>
      </c>
      <c r="N11" s="15">
        <f t="shared" si="5"/>
        <v>0.42069455535346162</v>
      </c>
      <c r="O11" s="15">
        <f t="shared" si="5"/>
        <v>0.45773806464163003</v>
      </c>
    </row>
    <row r="12" spans="1:17" ht="15.75" customHeight="1" x14ac:dyDescent="0.3">
      <c r="A12" s="16"/>
      <c r="B12" s="16" t="s">
        <v>223</v>
      </c>
      <c r="E12" s="15">
        <f>E6/Historicals!E5</f>
        <v>4.6912058042048897E-3</v>
      </c>
      <c r="F12" s="15">
        <f>F6/Historicals!F5</f>
        <v>-1.0383713718438309E-3</v>
      </c>
      <c r="G12" s="15">
        <f>G6/Historicals!G5</f>
        <v>3.3337760113252546E-3</v>
      </c>
      <c r="H12" s="15">
        <f>H6/Historicals!H5</f>
        <v>1.7597456217815651E-3</v>
      </c>
      <c r="I12" s="15">
        <f>I6/Historicals!I5</f>
        <v>-3.4396251641743655E-3</v>
      </c>
      <c r="J12" s="15">
        <f>J6/Historicals!J5</f>
        <v>9.7598686401353431E-4</v>
      </c>
      <c r="K12" s="15">
        <f t="shared" ref="K12:O12" si="6">MEDIAN(E12:J12)</f>
        <v>1.3678662428975496E-3</v>
      </c>
      <c r="L12" s="15">
        <f t="shared" si="6"/>
        <v>1.171926553455542E-3</v>
      </c>
      <c r="M12" s="15">
        <f t="shared" si="6"/>
        <v>1.2698963981765459E-3</v>
      </c>
      <c r="N12" s="15">
        <f t="shared" si="6"/>
        <v>1.220911475816044E-3</v>
      </c>
      <c r="O12" s="15">
        <f t="shared" si="6"/>
        <v>1.196419014635793E-3</v>
      </c>
      <c r="P12" s="52"/>
      <c r="Q12" s="11"/>
    </row>
    <row r="16" spans="1:17" ht="15.75" customHeight="1" x14ac:dyDescent="0.3">
      <c r="A16" s="11"/>
      <c r="B16" s="11"/>
    </row>
    <row r="17" spans="1:15" ht="15.75" customHeight="1" x14ac:dyDescent="0.3">
      <c r="A17" s="11"/>
      <c r="B17" s="11" t="s">
        <v>203</v>
      </c>
    </row>
    <row r="19" spans="1:15" ht="15.75" customHeight="1" x14ac:dyDescent="0.25">
      <c r="A19" s="16"/>
      <c r="B19" s="16" t="s">
        <v>204</v>
      </c>
      <c r="C19" s="43">
        <f>F35</f>
        <v>5.0453648915187372</v>
      </c>
    </row>
    <row r="21" spans="1:15" ht="13" x14ac:dyDescent="0.3">
      <c r="A21" s="1"/>
      <c r="B21" s="3" t="s">
        <v>1</v>
      </c>
      <c r="C21" s="12"/>
      <c r="D21" s="12"/>
      <c r="E21" s="12"/>
      <c r="F21" s="12"/>
      <c r="G21" s="12"/>
      <c r="H21" s="12"/>
      <c r="I21" s="12"/>
      <c r="J21" s="5">
        <v>2025</v>
      </c>
      <c r="K21" s="56">
        <f t="shared" ref="K21:O21" si="7">J21+1</f>
        <v>2026</v>
      </c>
      <c r="L21" s="56">
        <f t="shared" si="7"/>
        <v>2027</v>
      </c>
      <c r="M21" s="56">
        <f t="shared" si="7"/>
        <v>2028</v>
      </c>
      <c r="N21" s="56">
        <f t="shared" si="7"/>
        <v>2029</v>
      </c>
      <c r="O21" s="56">
        <f t="shared" si="7"/>
        <v>2030</v>
      </c>
    </row>
    <row r="22" spans="1:15" ht="12.5" x14ac:dyDescent="0.25">
      <c r="K22" s="17">
        <f t="shared" ref="K22:O22" si="8">$K$5/$C$19</f>
        <v>1034.4147771696639</v>
      </c>
      <c r="L22" s="17">
        <f t="shared" si="8"/>
        <v>1034.4147771696639</v>
      </c>
      <c r="M22" s="17">
        <f t="shared" si="8"/>
        <v>1034.4147771696639</v>
      </c>
      <c r="N22" s="17">
        <f t="shared" si="8"/>
        <v>1034.4147771696639</v>
      </c>
      <c r="O22" s="17">
        <f t="shared" si="8"/>
        <v>1034.4147771696639</v>
      </c>
    </row>
    <row r="23" spans="1:15" ht="12.5" x14ac:dyDescent="0.25">
      <c r="K23" s="17">
        <f t="shared" ref="K23:O23" si="9">$K$6/$C$19</f>
        <v>509.49326707771075</v>
      </c>
      <c r="L23" s="17">
        <f t="shared" si="9"/>
        <v>509.49326707771075</v>
      </c>
      <c r="M23" s="17">
        <f t="shared" si="9"/>
        <v>509.49326707771075</v>
      </c>
      <c r="N23" s="17">
        <f t="shared" si="9"/>
        <v>509.49326707771075</v>
      </c>
      <c r="O23" s="17">
        <f t="shared" si="9"/>
        <v>509.49326707771075</v>
      </c>
    </row>
    <row r="24" spans="1:15" ht="12.5" x14ac:dyDescent="0.25">
      <c r="L24" s="17">
        <f t="shared" ref="L24:O24" si="10">$L$6/$C$19</f>
        <v>473.39374893542549</v>
      </c>
      <c r="M24" s="17">
        <f t="shared" si="10"/>
        <v>473.39374893542549</v>
      </c>
      <c r="N24" s="17">
        <f t="shared" si="10"/>
        <v>473.39374893542549</v>
      </c>
      <c r="O24" s="17">
        <f t="shared" si="10"/>
        <v>473.39374893542549</v>
      </c>
    </row>
    <row r="25" spans="1:15" ht="12.5" x14ac:dyDescent="0.25">
      <c r="L25" s="17"/>
      <c r="M25" s="17">
        <f t="shared" ref="M25:O25" si="11">$M$6/$C$19</f>
        <v>552.934191820764</v>
      </c>
      <c r="N25" s="17">
        <f t="shared" si="11"/>
        <v>552.934191820764</v>
      </c>
      <c r="O25" s="17">
        <f t="shared" si="11"/>
        <v>552.934191820764</v>
      </c>
    </row>
    <row r="26" spans="1:15" ht="12.5" x14ac:dyDescent="0.25">
      <c r="L26" s="17"/>
      <c r="M26" s="17"/>
      <c r="N26" s="17">
        <f t="shared" ref="N26:O26" si="12">$N$6/$C$19</f>
        <v>570.0297117258001</v>
      </c>
      <c r="O26" s="17">
        <f t="shared" si="12"/>
        <v>570.0297117258001</v>
      </c>
    </row>
    <row r="27" spans="1:15" ht="12.5" x14ac:dyDescent="0.25">
      <c r="K27" s="48"/>
      <c r="L27" s="17"/>
      <c r="M27" s="17"/>
      <c r="N27" s="17"/>
      <c r="O27" s="17">
        <f>$O$6/$C$19</f>
        <v>596.24801255352816</v>
      </c>
    </row>
    <row r="28" spans="1:15" ht="13" x14ac:dyDescent="0.3">
      <c r="A28" s="11"/>
      <c r="B28" s="11" t="s">
        <v>205</v>
      </c>
      <c r="K28" s="18">
        <f t="shared" ref="K28:O28" si="13">SUM(K22:K27)</f>
        <v>1543.9080442473746</v>
      </c>
      <c r="L28" s="18">
        <f t="shared" si="13"/>
        <v>2017.3017931828001</v>
      </c>
      <c r="M28" s="18">
        <f t="shared" si="13"/>
        <v>2570.2359850035641</v>
      </c>
      <c r="N28" s="18">
        <f t="shared" si="13"/>
        <v>3140.2656967293642</v>
      </c>
      <c r="O28" s="18">
        <f t="shared" si="13"/>
        <v>3736.5137092828923</v>
      </c>
    </row>
    <row r="32" spans="1:15" ht="13" x14ac:dyDescent="0.3">
      <c r="A32" s="11"/>
      <c r="B32" s="11" t="s">
        <v>206</v>
      </c>
      <c r="C32" s="42" t="s">
        <v>207</v>
      </c>
      <c r="D32" s="42" t="s">
        <v>208</v>
      </c>
      <c r="E32" s="42" t="s">
        <v>209</v>
      </c>
      <c r="F32" s="77" t="s">
        <v>210</v>
      </c>
      <c r="G32" s="74"/>
    </row>
    <row r="33" spans="1:7" ht="12.5" x14ac:dyDescent="0.25">
      <c r="A33" s="16"/>
      <c r="B33" s="16" t="s">
        <v>224</v>
      </c>
      <c r="C33" s="23">
        <v>20</v>
      </c>
      <c r="D33" s="17">
        <v>183</v>
      </c>
      <c r="E33" s="47">
        <f>D33/D35</f>
        <v>0.1203155818540434</v>
      </c>
      <c r="F33" s="73">
        <f t="shared" ref="F33:F34" si="14">C33*E33</f>
        <v>2.4063116370808677</v>
      </c>
      <c r="G33" s="74"/>
    </row>
    <row r="34" spans="1:7" ht="12.5" x14ac:dyDescent="0.25">
      <c r="A34" s="16"/>
      <c r="B34" s="16" t="s">
        <v>225</v>
      </c>
      <c r="C34" s="23">
        <v>3</v>
      </c>
      <c r="D34" s="17">
        <v>1338</v>
      </c>
      <c r="E34" s="47">
        <f>D34/D35</f>
        <v>0.87968441814595666</v>
      </c>
      <c r="F34" s="73">
        <f t="shared" si="14"/>
        <v>2.63905325443787</v>
      </c>
      <c r="G34" s="74"/>
    </row>
    <row r="35" spans="1:7" ht="13" x14ac:dyDescent="0.3">
      <c r="A35" s="16"/>
      <c r="B35" s="55" t="s">
        <v>221</v>
      </c>
      <c r="C35" s="58"/>
      <c r="D35" s="59">
        <f t="shared" ref="D35:E35" si="15">SUM(D33:D34)</f>
        <v>1521</v>
      </c>
      <c r="E35" s="60">
        <f t="shared" si="15"/>
        <v>1</v>
      </c>
      <c r="F35" s="75">
        <f>SUM(F33:G34)</f>
        <v>5.0453648915187372</v>
      </c>
      <c r="G35" s="76"/>
    </row>
  </sheetData>
  <mergeCells count="4">
    <mergeCell ref="F33:G33"/>
    <mergeCell ref="F32:G32"/>
    <mergeCell ref="F34:G34"/>
    <mergeCell ref="F35:G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O27"/>
  <sheetViews>
    <sheetView showGridLines="0" workbookViewId="0"/>
  </sheetViews>
  <sheetFormatPr defaultColWidth="12.6328125" defaultRowHeight="15.75" customHeight="1" x14ac:dyDescent="0.25"/>
  <cols>
    <col min="1" max="1" width="4.453125" customWidth="1"/>
  </cols>
  <sheetData>
    <row r="2" spans="2:15" ht="15.75" customHeight="1" x14ac:dyDescent="0.3">
      <c r="B2" s="11" t="s">
        <v>226</v>
      </c>
    </row>
    <row r="4" spans="2:15" ht="15.75" customHeight="1" x14ac:dyDescent="0.25">
      <c r="B4" s="16" t="s">
        <v>227</v>
      </c>
    </row>
    <row r="5" spans="2:15" ht="15.75" customHeight="1" x14ac:dyDescent="0.25">
      <c r="B5" s="16" t="s">
        <v>158</v>
      </c>
      <c r="C5" s="38">
        <f>WACC!E34</f>
        <v>0.35</v>
      </c>
    </row>
    <row r="6" spans="2:15" ht="15.75" customHeight="1" x14ac:dyDescent="0.25">
      <c r="B6" s="16" t="s">
        <v>159</v>
      </c>
      <c r="C6" s="38">
        <f>WACC!E35</f>
        <v>0.65</v>
      </c>
    </row>
    <row r="8" spans="2:15" ht="15.75" customHeight="1" x14ac:dyDescent="0.25">
      <c r="B8" s="16" t="s">
        <v>228</v>
      </c>
      <c r="C8" s="61">
        <f>AVERAGE(H13:J13)</f>
        <v>4.2219667723632885E-2</v>
      </c>
    </row>
    <row r="10" spans="2:15" ht="15.75" customHeight="1" x14ac:dyDescent="0.3">
      <c r="B10" s="12"/>
      <c r="C10" s="12"/>
      <c r="D10" s="14">
        <f>'Final Income Statement'!D4</f>
        <v>2019</v>
      </c>
      <c r="E10" s="14">
        <f>'Final Income Statement'!E4</f>
        <v>2020</v>
      </c>
      <c r="F10" s="14">
        <f>'Final Income Statement'!F4</f>
        <v>2021</v>
      </c>
      <c r="G10" s="14">
        <f>'Final Income Statement'!G4</f>
        <v>2022</v>
      </c>
      <c r="H10" s="14">
        <f>'Final Income Statement'!H4</f>
        <v>2023</v>
      </c>
      <c r="I10" s="14">
        <f>'Final Income Statement'!I4</f>
        <v>2024</v>
      </c>
      <c r="J10" s="14">
        <f>'Final Income Statement'!J4</f>
        <v>2025</v>
      </c>
      <c r="K10" s="56">
        <f>'Final Income Statement'!K4</f>
        <v>2026</v>
      </c>
      <c r="L10" s="56">
        <f>'Final Income Statement'!L4</f>
        <v>2027</v>
      </c>
      <c r="M10" s="56">
        <f>'Final Income Statement'!M4</f>
        <v>2028</v>
      </c>
      <c r="N10" s="56">
        <f>'Final Income Statement'!N4</f>
        <v>2029</v>
      </c>
      <c r="O10" s="56">
        <f>'Final Income Statement'!O4</f>
        <v>2030</v>
      </c>
    </row>
    <row r="11" spans="2:15" ht="15.75" customHeight="1" x14ac:dyDescent="0.25">
      <c r="B11" s="16" t="s">
        <v>158</v>
      </c>
      <c r="D11" s="17">
        <f>Historicals!D41+Historicals!D46+Historicals!D47</f>
        <v>240957</v>
      </c>
      <c r="E11" s="17">
        <f>Historicals!E41+Historicals!E46+Historicals!E47</f>
        <v>275968</v>
      </c>
      <c r="F11" s="17">
        <f>Historicals!F41+Historicals!F46+Historicals!F47</f>
        <v>214951</v>
      </c>
      <c r="G11" s="17">
        <f>Historicals!G41+Historicals!G46+Historicals!G47</f>
        <v>323360</v>
      </c>
      <c r="H11" s="17">
        <f>Historicals!H41+Historicals!H46+Historicals!H47</f>
        <v>475281</v>
      </c>
      <c r="I11" s="17">
        <f>Historicals!I41+Historicals!I46+Historicals!I47</f>
        <v>539428</v>
      </c>
      <c r="J11" s="17">
        <f>Historicals!J41+Historicals!J46+Historicals!J47</f>
        <v>707301</v>
      </c>
      <c r="K11" s="17">
        <f t="shared" ref="K11:O11" si="0">J11+K16</f>
        <v>703001.34605580033</v>
      </c>
      <c r="L11" s="17">
        <f t="shared" si="0"/>
        <v>703001.34605580033</v>
      </c>
      <c r="M11" s="17">
        <f t="shared" si="0"/>
        <v>703001.34605580033</v>
      </c>
      <c r="N11" s="17">
        <f t="shared" si="0"/>
        <v>703001.34605580033</v>
      </c>
      <c r="O11" s="17">
        <f t="shared" si="0"/>
        <v>703001.34605580033</v>
      </c>
    </row>
    <row r="12" spans="2:15" ht="15.75" customHeight="1" x14ac:dyDescent="0.25">
      <c r="B12" s="16" t="s">
        <v>229</v>
      </c>
      <c r="D12" s="62">
        <v>28943</v>
      </c>
      <c r="E12" s="62">
        <v>16920</v>
      </c>
      <c r="F12" s="62">
        <v>6624</v>
      </c>
      <c r="G12" s="62">
        <v>623</v>
      </c>
      <c r="H12" s="62">
        <v>10482</v>
      </c>
      <c r="I12" s="62">
        <v>35009</v>
      </c>
      <c r="J12" s="62">
        <v>28083</v>
      </c>
      <c r="K12" s="17">
        <f t="shared" ref="K12:O12" si="1">K11*K13</f>
        <v>29680.483239742545</v>
      </c>
      <c r="L12" s="17">
        <f t="shared" si="1"/>
        <v>29680.483239742545</v>
      </c>
      <c r="M12" s="17">
        <f t="shared" si="1"/>
        <v>29680.483239742545</v>
      </c>
      <c r="N12" s="17">
        <f t="shared" si="1"/>
        <v>29680.483239742545</v>
      </c>
      <c r="O12" s="17">
        <f t="shared" si="1"/>
        <v>29680.483239742545</v>
      </c>
    </row>
    <row r="13" spans="2:15" ht="15.75" customHeight="1" x14ac:dyDescent="0.25">
      <c r="B13" s="16" t="s">
        <v>230</v>
      </c>
      <c r="D13" s="15">
        <f t="shared" ref="D13:J13" si="2">D12/D11</f>
        <v>0.12011686732487539</v>
      </c>
      <c r="E13" s="15">
        <f t="shared" si="2"/>
        <v>6.1311456400742113E-2</v>
      </c>
      <c r="F13" s="15">
        <f t="shared" si="2"/>
        <v>3.0816325581178965E-2</v>
      </c>
      <c r="G13" s="15">
        <f t="shared" si="2"/>
        <v>1.9266452251360713E-3</v>
      </c>
      <c r="H13" s="15">
        <f t="shared" si="2"/>
        <v>2.205432154872591E-2</v>
      </c>
      <c r="I13" s="15">
        <f t="shared" si="2"/>
        <v>6.4900227648546235E-2</v>
      </c>
      <c r="J13" s="15">
        <f t="shared" si="2"/>
        <v>3.9704453973626506E-2</v>
      </c>
      <c r="K13" s="15">
        <f t="shared" ref="K13:O13" si="3">$C$8</f>
        <v>4.2219667723632885E-2</v>
      </c>
      <c r="L13" s="15">
        <f t="shared" si="3"/>
        <v>4.2219667723632885E-2</v>
      </c>
      <c r="M13" s="15">
        <f t="shared" si="3"/>
        <v>4.2219667723632885E-2</v>
      </c>
      <c r="N13" s="15">
        <f t="shared" si="3"/>
        <v>4.2219667723632885E-2</v>
      </c>
      <c r="O13" s="15">
        <f t="shared" si="3"/>
        <v>4.2219667723632885E-2</v>
      </c>
    </row>
    <row r="15" spans="2:15" ht="15.75" customHeight="1" x14ac:dyDescent="0.25">
      <c r="B15" s="16" t="s">
        <v>231</v>
      </c>
      <c r="G15" s="63"/>
      <c r="H15" s="63"/>
      <c r="I15" s="63"/>
      <c r="K15" s="17">
        <f>DCF!E12</f>
        <v>-12284.725554856243</v>
      </c>
      <c r="L15" s="17">
        <f>DCF!F12</f>
        <v>26517.406741012321</v>
      </c>
      <c r="M15" s="17">
        <f>DCF!G12</f>
        <v>70242.698795619232</v>
      </c>
      <c r="N15" s="17">
        <f>DCF!H12</f>
        <v>119446.80152190127</v>
      </c>
      <c r="O15" s="17">
        <f>DCF!I12</f>
        <v>174826.13225621311</v>
      </c>
    </row>
    <row r="16" spans="2:15" ht="15.75" customHeight="1" x14ac:dyDescent="0.25">
      <c r="B16" s="16" t="s">
        <v>158</v>
      </c>
      <c r="G16" s="63"/>
      <c r="I16" s="63"/>
      <c r="K16" s="17">
        <f t="shared" ref="K16:O16" si="4">IF(K$15&lt;0,K$15*$C5,0)</f>
        <v>-4299.6539441996847</v>
      </c>
      <c r="L16" s="17">
        <f t="shared" si="4"/>
        <v>0</v>
      </c>
      <c r="M16" s="17">
        <f t="shared" si="4"/>
        <v>0</v>
      </c>
      <c r="N16" s="17">
        <f t="shared" si="4"/>
        <v>0</v>
      </c>
      <c r="O16" s="17">
        <f t="shared" si="4"/>
        <v>0</v>
      </c>
    </row>
    <row r="17" spans="2:15" ht="15.75" customHeight="1" x14ac:dyDescent="0.25">
      <c r="B17" s="16" t="s">
        <v>159</v>
      </c>
      <c r="G17" s="63"/>
      <c r="I17" s="63"/>
      <c r="K17" s="17">
        <f t="shared" ref="K17:O17" si="5">IF(K$15&lt;0,K$15*$C6,0)</f>
        <v>-7985.0716106565578</v>
      </c>
      <c r="L17" s="17">
        <f t="shared" si="5"/>
        <v>0</v>
      </c>
      <c r="M17" s="17">
        <f t="shared" si="5"/>
        <v>0</v>
      </c>
      <c r="N17" s="17">
        <f t="shared" si="5"/>
        <v>0</v>
      </c>
      <c r="O17" s="17">
        <f t="shared" si="5"/>
        <v>0</v>
      </c>
    </row>
    <row r="19" spans="2:15" ht="15.75" customHeight="1" x14ac:dyDescent="0.3">
      <c r="B19" s="11" t="s">
        <v>232</v>
      </c>
    </row>
    <row r="20" spans="2:15" ht="15.75" customHeight="1" x14ac:dyDescent="0.25">
      <c r="B20" s="16" t="s">
        <v>233</v>
      </c>
      <c r="D20" s="17">
        <f t="shared" ref="D20:O20" si="6">D12</f>
        <v>28943</v>
      </c>
      <c r="E20" s="17">
        <f t="shared" si="6"/>
        <v>16920</v>
      </c>
      <c r="F20" s="17">
        <f t="shared" si="6"/>
        <v>6624</v>
      </c>
      <c r="G20" s="17">
        <f t="shared" si="6"/>
        <v>623</v>
      </c>
      <c r="H20" s="17">
        <f t="shared" si="6"/>
        <v>10482</v>
      </c>
      <c r="I20" s="17">
        <f t="shared" si="6"/>
        <v>35009</v>
      </c>
      <c r="J20" s="17">
        <f t="shared" si="6"/>
        <v>28083</v>
      </c>
      <c r="K20" s="17">
        <f t="shared" si="6"/>
        <v>29680.483239742545</v>
      </c>
      <c r="L20" s="17">
        <f t="shared" si="6"/>
        <v>29680.483239742545</v>
      </c>
      <c r="M20" s="17">
        <f t="shared" si="6"/>
        <v>29680.483239742545</v>
      </c>
      <c r="N20" s="17">
        <f t="shared" si="6"/>
        <v>29680.483239742545</v>
      </c>
      <c r="O20" s="17">
        <f t="shared" si="6"/>
        <v>29680.483239742545</v>
      </c>
    </row>
    <row r="21" spans="2:15" ht="12.5" x14ac:dyDescent="0.25">
      <c r="B21" s="16" t="s">
        <v>234</v>
      </c>
      <c r="D21" s="17">
        <f t="shared" ref="D21:J21" si="7">D23-D20-D22</f>
        <v>21067</v>
      </c>
      <c r="E21" s="17">
        <f t="shared" si="7"/>
        <v>67324</v>
      </c>
      <c r="F21" s="17">
        <f t="shared" si="7"/>
        <v>15804</v>
      </c>
      <c r="G21" s="17">
        <f t="shared" si="7"/>
        <v>12133</v>
      </c>
      <c r="H21" s="17">
        <f t="shared" si="7"/>
        <v>21396</v>
      </c>
      <c r="I21" s="17">
        <f t="shared" si="7"/>
        <v>15573</v>
      </c>
      <c r="J21" s="17">
        <f t="shared" si="7"/>
        <v>39074</v>
      </c>
      <c r="K21" s="17">
        <f>-K26*'Final Income Statement'!K7</f>
        <v>30020.491544236516</v>
      </c>
      <c r="L21" s="17">
        <f>-L26*'Final Income Statement'!L7</f>
        <v>32022.502647111782</v>
      </c>
      <c r="M21" s="17">
        <f>-M26*'Final Income Statement'!M7</f>
        <v>33941.218482498261</v>
      </c>
      <c r="N21" s="17">
        <f>-N26*'Final Income Statement'!N7</f>
        <v>35776.639050395948</v>
      </c>
      <c r="O21" s="17">
        <f>-O26*'Final Income Statement'!O7</f>
        <v>37528.764350804857</v>
      </c>
    </row>
    <row r="22" spans="2:15" ht="12.5" x14ac:dyDescent="0.25">
      <c r="B22" s="16" t="s">
        <v>235</v>
      </c>
      <c r="D22" s="17">
        <v>0</v>
      </c>
      <c r="E22" s="17">
        <v>0</v>
      </c>
      <c r="F22" s="17">
        <v>0</v>
      </c>
      <c r="G22" s="17">
        <v>-1711</v>
      </c>
      <c r="H22" s="17">
        <v>-6291</v>
      </c>
      <c r="I22" s="17">
        <v>-14444</v>
      </c>
      <c r="J22" s="17">
        <v>-9618</v>
      </c>
      <c r="K22" s="17">
        <f>-$K$27*'Final Income Statement'!K6</f>
        <v>-9862.3935319785414</v>
      </c>
      <c r="L22" s="17">
        <f>-$K$27*'Final Income Statement'!L6</f>
        <v>-10695.710387401983</v>
      </c>
      <c r="M22" s="17">
        <f>-$K$27*'Final Income Statement'!M6</f>
        <v>-11529.027242825427</v>
      </c>
      <c r="N22" s="17">
        <f>-$K$27*'Final Income Statement'!N6</f>
        <v>-12362.344098248866</v>
      </c>
      <c r="O22" s="17">
        <f>-$K$27*'Final Income Statement'!O6</f>
        <v>-13195.660953672308</v>
      </c>
    </row>
    <row r="23" spans="2:15" ht="12.5" x14ac:dyDescent="0.25">
      <c r="B23" s="16" t="s">
        <v>205</v>
      </c>
      <c r="D23" s="17">
        <f>-'Final Income Statement'!D13</f>
        <v>50010</v>
      </c>
      <c r="E23" s="17">
        <f>-'Final Income Statement'!E13</f>
        <v>84244</v>
      </c>
      <c r="F23" s="17">
        <f>-'Final Income Statement'!F13</f>
        <v>22428</v>
      </c>
      <c r="G23" s="17">
        <f>-'Final Income Statement'!G13</f>
        <v>11045</v>
      </c>
      <c r="H23" s="17">
        <f>-'Final Income Statement'!H13</f>
        <v>25587</v>
      </c>
      <c r="I23" s="17">
        <f>-'Final Income Statement'!I13</f>
        <v>36138</v>
      </c>
      <c r="J23" s="17">
        <f>-'Final Income Statement'!J13</f>
        <v>57539</v>
      </c>
      <c r="K23" s="17">
        <f t="shared" ref="K23:O23" si="8">SUM(K20:K22)</f>
        <v>49838.581252000527</v>
      </c>
      <c r="L23" s="17">
        <f t="shared" si="8"/>
        <v>51007.275499452342</v>
      </c>
      <c r="M23" s="17">
        <f t="shared" si="8"/>
        <v>52092.674479415378</v>
      </c>
      <c r="N23" s="17">
        <f t="shared" si="8"/>
        <v>53094.778191889622</v>
      </c>
      <c r="O23" s="17">
        <f t="shared" si="8"/>
        <v>54013.586636875087</v>
      </c>
    </row>
    <row r="26" spans="2:15" ht="12.5" x14ac:dyDescent="0.25">
      <c r="B26" s="16" t="s">
        <v>236</v>
      </c>
      <c r="D26" s="15">
        <f>-(D21/Historicals!D6)</f>
        <v>5.9858614673842007E-2</v>
      </c>
      <c r="E26" s="15">
        <f>-(E21/Historicals!E6)</f>
        <v>0.16857635063400173</v>
      </c>
      <c r="F26" s="15">
        <f>-(F21/Historicals!F6)</f>
        <v>3.6849296543105099E-2</v>
      </c>
      <c r="G26" s="15">
        <f>-(G21/Historicals!G6)</f>
        <v>2.645210801477289E-2</v>
      </c>
      <c r="H26" s="15">
        <f>-(H21/Historicals!H6)</f>
        <v>2.6005090171884456E-2</v>
      </c>
      <c r="I26" s="15">
        <f>-(I21/Historicals!I6)</f>
        <v>1.7616077427937315E-2</v>
      </c>
      <c r="J26" s="15">
        <f>-(J21/Historicals!J6)</f>
        <v>3.6993381257911295E-2</v>
      </c>
      <c r="K26" s="61">
        <f t="shared" ref="K26:O26" si="9">MEDIAN($G$26:$J$26)</f>
        <v>2.6228599093328673E-2</v>
      </c>
      <c r="L26" s="61">
        <f t="shared" si="9"/>
        <v>2.6228599093328673E-2</v>
      </c>
      <c r="M26" s="61">
        <f t="shared" si="9"/>
        <v>2.6228599093328673E-2</v>
      </c>
      <c r="N26" s="61">
        <f t="shared" si="9"/>
        <v>2.6228599093328673E-2</v>
      </c>
      <c r="O26" s="61">
        <f t="shared" si="9"/>
        <v>2.6228599093328673E-2</v>
      </c>
    </row>
    <row r="27" spans="2:15" ht="12.5" x14ac:dyDescent="0.25">
      <c r="B27" s="16" t="s">
        <v>237</v>
      </c>
      <c r="D27" s="15">
        <f>-(D22/Historicals!D5)</f>
        <v>0</v>
      </c>
      <c r="E27" s="15">
        <f>-(E22/Historicals!E5)</f>
        <v>0</v>
      </c>
      <c r="F27" s="15">
        <f>-(F22/Historicals!F5)</f>
        <v>0</v>
      </c>
      <c r="G27" s="15">
        <f>-(G22/Historicals!G5)</f>
        <v>1.1712712023362445E-3</v>
      </c>
      <c r="H27" s="15">
        <f>-(H22/Historicals!H5)</f>
        <v>4.5093929558565485E-3</v>
      </c>
      <c r="I27" s="15">
        <f>-(I22/Historicals!I5)</f>
        <v>9.4758622680401541E-3</v>
      </c>
      <c r="J27" s="15">
        <f>-(J22/Historicals!J5)</f>
        <v>5.9866337105115904E-3</v>
      </c>
      <c r="K27" s="61">
        <f t="shared" ref="K27:O27" si="10">MEDIAN($G$27:$J$27)</f>
        <v>5.2480133331840699E-3</v>
      </c>
      <c r="L27" s="61">
        <f t="shared" si="10"/>
        <v>5.2480133331840699E-3</v>
      </c>
      <c r="M27" s="61">
        <f t="shared" si="10"/>
        <v>5.2480133331840699E-3</v>
      </c>
      <c r="N27" s="61">
        <f t="shared" si="10"/>
        <v>5.2480133331840699E-3</v>
      </c>
      <c r="O27" s="61">
        <f t="shared" si="10"/>
        <v>5.2480133331840699E-3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W41"/>
  <sheetViews>
    <sheetView showGridLines="0" workbookViewId="0">
      <selection activeCell="D23" sqref="D23"/>
    </sheetView>
  </sheetViews>
  <sheetFormatPr defaultColWidth="12.6328125" defaultRowHeight="15.75" customHeight="1" x14ac:dyDescent="0.25"/>
  <cols>
    <col min="1" max="1" width="4.453125" customWidth="1"/>
  </cols>
  <sheetData>
    <row r="2" spans="2:21" ht="13" x14ac:dyDescent="0.3">
      <c r="B2" s="11" t="s">
        <v>238</v>
      </c>
    </row>
    <row r="4" spans="2:21" ht="13" x14ac:dyDescent="0.3">
      <c r="B4" s="3" t="s">
        <v>1</v>
      </c>
      <c r="C4" s="3"/>
      <c r="D4" s="4">
        <v>2019</v>
      </c>
      <c r="E4" s="5">
        <f t="shared" ref="E4:O4" si="0">D4+1</f>
        <v>2020</v>
      </c>
      <c r="F4" s="5">
        <f t="shared" si="0"/>
        <v>2021</v>
      </c>
      <c r="G4" s="5">
        <f t="shared" si="0"/>
        <v>2022</v>
      </c>
      <c r="H4" s="5">
        <f t="shared" si="0"/>
        <v>2023</v>
      </c>
      <c r="I4" s="5">
        <f t="shared" si="0"/>
        <v>2024</v>
      </c>
      <c r="J4" s="5">
        <f t="shared" si="0"/>
        <v>2025</v>
      </c>
      <c r="K4" s="64">
        <f t="shared" si="0"/>
        <v>2026</v>
      </c>
      <c r="L4" s="64">
        <f t="shared" si="0"/>
        <v>2027</v>
      </c>
      <c r="M4" s="64">
        <f t="shared" si="0"/>
        <v>2028</v>
      </c>
      <c r="N4" s="64">
        <f t="shared" si="0"/>
        <v>2029</v>
      </c>
      <c r="O4" s="64">
        <f t="shared" si="0"/>
        <v>2030</v>
      </c>
      <c r="R4" s="16" t="s">
        <v>239</v>
      </c>
      <c r="S4" s="16" t="s">
        <v>240</v>
      </c>
      <c r="T4" s="16" t="s">
        <v>241</v>
      </c>
      <c r="U4" s="16" t="s">
        <v>242</v>
      </c>
    </row>
    <row r="5" spans="2:21" ht="12.5" x14ac:dyDescent="0.25">
      <c r="R5" s="16">
        <v>1</v>
      </c>
      <c r="S5" s="65">
        <f t="array" ref="S5:S16">TRANSPOSE(D4:O4)</f>
        <v>2019</v>
      </c>
      <c r="T5" s="49">
        <f t="array" ref="T5:T11">TRANSPOSE(D6:J6)</f>
        <v>655129</v>
      </c>
    </row>
    <row r="6" spans="2:21" ht="12.5" x14ac:dyDescent="0.25">
      <c r="B6" s="1" t="s">
        <v>5</v>
      </c>
      <c r="D6" s="17">
        <f>Historicals!D5</f>
        <v>655129</v>
      </c>
      <c r="E6" s="17">
        <f>Historicals!E5</f>
        <v>785086</v>
      </c>
      <c r="F6" s="17">
        <f>Historicals!F5</f>
        <v>1281815</v>
      </c>
      <c r="G6" s="17">
        <f>Historicals!G5</f>
        <v>1460806</v>
      </c>
      <c r="H6" s="17">
        <f>Historicals!H5</f>
        <v>1395088</v>
      </c>
      <c r="I6" s="17">
        <f>Historicals!I5</f>
        <v>1524294</v>
      </c>
      <c r="J6" s="17">
        <f>Historicals!J5</f>
        <v>1606579</v>
      </c>
      <c r="K6" s="17">
        <f t="array" ref="K6:O6">TRANSPOSE(T12:T16)</f>
        <v>1879262.2857142854</v>
      </c>
      <c r="L6" s="17">
        <v>2038049.3928571427</v>
      </c>
      <c r="M6" s="17">
        <v>2196836.5</v>
      </c>
      <c r="N6" s="17">
        <v>2355623.6071428568</v>
      </c>
      <c r="O6" s="17">
        <v>2514410.7142857141</v>
      </c>
      <c r="R6" s="16">
        <f t="shared" ref="R6:R16" si="1">R5+1</f>
        <v>2</v>
      </c>
      <c r="S6" s="65">
        <v>2020</v>
      </c>
      <c r="T6" s="49">
        <v>785086</v>
      </c>
      <c r="U6" s="15">
        <f t="shared" ref="U6:U16" si="2">T6/T5-1</f>
        <v>0.19836856558021387</v>
      </c>
    </row>
    <row r="7" spans="2:21" ht="12.5" x14ac:dyDescent="0.25">
      <c r="B7" s="1" t="s">
        <v>6</v>
      </c>
      <c r="D7" s="17">
        <f>Historicals!D6</f>
        <v>-351946</v>
      </c>
      <c r="E7" s="17">
        <f>Historicals!E6</f>
        <v>-399368</v>
      </c>
      <c r="F7" s="17">
        <f>Historicals!F6</f>
        <v>-428882</v>
      </c>
      <c r="G7" s="17">
        <f>Historicals!G6</f>
        <v>-458678</v>
      </c>
      <c r="H7" s="17">
        <f>Historicals!H6</f>
        <v>-822762</v>
      </c>
      <c r="I7" s="17">
        <f>Historicals!I6</f>
        <v>-884022</v>
      </c>
      <c r="J7" s="17">
        <f>Historicals!J6</f>
        <v>-1056243</v>
      </c>
      <c r="K7" s="17">
        <f t="shared" ref="K7:O7" si="3">K8-K6</f>
        <v>-1144570.9104559962</v>
      </c>
      <c r="L7" s="17">
        <f t="shared" si="3"/>
        <v>-1220900.2292942442</v>
      </c>
      <c r="M7" s="17">
        <f t="shared" si="3"/>
        <v>-1294053.8059896352</v>
      </c>
      <c r="N7" s="17">
        <f t="shared" si="3"/>
        <v>-1364031.6405421686</v>
      </c>
      <c r="O7" s="17">
        <f t="shared" si="3"/>
        <v>-1430833.7329518455</v>
      </c>
      <c r="R7" s="16">
        <f t="shared" si="1"/>
        <v>3</v>
      </c>
      <c r="S7" s="65">
        <v>2021</v>
      </c>
      <c r="T7" s="49">
        <v>1281815</v>
      </c>
      <c r="U7" s="15">
        <f t="shared" si="2"/>
        <v>0.63270648056391265</v>
      </c>
    </row>
    <row r="8" spans="2:21" ht="12.5" x14ac:dyDescent="0.25">
      <c r="B8" s="1" t="s">
        <v>7</v>
      </c>
      <c r="D8" s="17">
        <f>Historicals!D7</f>
        <v>303183</v>
      </c>
      <c r="E8" s="17">
        <f>Historicals!E7</f>
        <v>385718</v>
      </c>
      <c r="F8" s="17">
        <f>Historicals!F7</f>
        <v>852933</v>
      </c>
      <c r="G8" s="17">
        <f>Historicals!G7</f>
        <v>1002128</v>
      </c>
      <c r="H8" s="17">
        <f>Historicals!H7</f>
        <v>572326</v>
      </c>
      <c r="I8" s="17">
        <f>Historicals!I7</f>
        <v>640272</v>
      </c>
      <c r="J8" s="17">
        <f>Historicals!J7</f>
        <v>550336</v>
      </c>
      <c r="K8" s="17">
        <f t="shared" ref="K8:O8" si="4">K6*K33</f>
        <v>734691.37525828939</v>
      </c>
      <c r="L8" s="17">
        <f t="shared" si="4"/>
        <v>817149.16356289852</v>
      </c>
      <c r="M8" s="17">
        <f t="shared" si="4"/>
        <v>902782.69401036482</v>
      </c>
      <c r="N8" s="17">
        <f t="shared" si="4"/>
        <v>991591.96660068806</v>
      </c>
      <c r="O8" s="17">
        <f t="shared" si="4"/>
        <v>1083576.9813338686</v>
      </c>
      <c r="R8" s="16">
        <f t="shared" si="1"/>
        <v>4</v>
      </c>
      <c r="S8" s="65">
        <v>2022</v>
      </c>
      <c r="T8" s="49">
        <v>1460806</v>
      </c>
      <c r="U8" s="15">
        <f t="shared" si="2"/>
        <v>0.13963871541525097</v>
      </c>
    </row>
    <row r="9" spans="2:21" ht="12.5" x14ac:dyDescent="0.25">
      <c r="B9" s="1" t="s">
        <v>8</v>
      </c>
      <c r="D9" s="17">
        <f>Historicals!D8</f>
        <v>-28073</v>
      </c>
      <c r="E9" s="17">
        <f>Historicals!E8</f>
        <v>-37178</v>
      </c>
      <c r="F9" s="17">
        <f>Historicals!F8</f>
        <v>-43693</v>
      </c>
      <c r="G9" s="17">
        <f>Historicals!G8</f>
        <v>-67119</v>
      </c>
      <c r="H9" s="17">
        <f>Historicals!H8</f>
        <v>-79972</v>
      </c>
      <c r="I9" s="17">
        <f>Historicals!I8</f>
        <v>-87481</v>
      </c>
      <c r="J9" s="17">
        <f>Historicals!J8</f>
        <v>-81221</v>
      </c>
      <c r="K9" s="17">
        <f t="shared" ref="K9:O9" si="5">K10-K8</f>
        <v>-103528.8036347985</v>
      </c>
      <c r="L9" s="17">
        <f t="shared" si="5"/>
        <v>-122466.65297481231</v>
      </c>
      <c r="M9" s="17">
        <f t="shared" si="5"/>
        <v>-142992.37338625477</v>
      </c>
      <c r="N9" s="17">
        <f t="shared" si="5"/>
        <v>-165105.96486912575</v>
      </c>
      <c r="O9" s="17">
        <f t="shared" si="5"/>
        <v>-188807.42742342525</v>
      </c>
      <c r="R9" s="16">
        <f t="shared" si="1"/>
        <v>5</v>
      </c>
      <c r="S9" s="65">
        <v>2023</v>
      </c>
      <c r="T9" s="49">
        <v>1395088</v>
      </c>
      <c r="U9" s="15">
        <f t="shared" si="2"/>
        <v>-4.4987493205805529E-2</v>
      </c>
    </row>
    <row r="10" spans="2:21" ht="12.5" x14ac:dyDescent="0.25">
      <c r="B10" s="1" t="s">
        <v>9</v>
      </c>
      <c r="D10" s="17">
        <f>Historicals!D9</f>
        <v>275110</v>
      </c>
      <c r="E10" s="17">
        <f>Historicals!E9</f>
        <v>348540</v>
      </c>
      <c r="F10" s="17">
        <f>Historicals!F9</f>
        <v>809240</v>
      </c>
      <c r="G10" s="17">
        <f>Historicals!G9</f>
        <v>935009</v>
      </c>
      <c r="H10" s="17">
        <f>Historicals!H9</f>
        <v>492354</v>
      </c>
      <c r="I10" s="17">
        <f>Historicals!I9</f>
        <v>552791</v>
      </c>
      <c r="J10" s="17">
        <f>Historicals!J9</f>
        <v>469115</v>
      </c>
      <c r="K10" s="17">
        <f t="shared" ref="K10:O10" si="6">K6*K34</f>
        <v>631162.57162349089</v>
      </c>
      <c r="L10" s="17">
        <f t="shared" si="6"/>
        <v>694682.51058808621</v>
      </c>
      <c r="M10" s="17">
        <f t="shared" si="6"/>
        <v>759790.32062411006</v>
      </c>
      <c r="N10" s="17">
        <f t="shared" si="6"/>
        <v>826486.00173156231</v>
      </c>
      <c r="O10" s="17">
        <f t="shared" si="6"/>
        <v>894769.55391044333</v>
      </c>
      <c r="R10" s="16">
        <f t="shared" si="1"/>
        <v>6</v>
      </c>
      <c r="S10" s="65">
        <v>2024</v>
      </c>
      <c r="T10" s="49">
        <v>1524294</v>
      </c>
      <c r="U10" s="15">
        <f t="shared" si="2"/>
        <v>9.2614946153934286E-2</v>
      </c>
    </row>
    <row r="11" spans="2:21" ht="12.5" x14ac:dyDescent="0.25">
      <c r="B11" s="79" t="s">
        <v>10</v>
      </c>
      <c r="C11" s="80"/>
      <c r="D11" s="81">
        <f>Historicals!D10</f>
        <v>-14551</v>
      </c>
      <c r="E11" s="81">
        <f>Historicals!E10</f>
        <v>-22001</v>
      </c>
      <c r="F11" s="81">
        <f>Historicals!F10</f>
        <v>-35177</v>
      </c>
      <c r="G11" s="81">
        <f>Historicals!G10</f>
        <v>-43929</v>
      </c>
      <c r="H11" s="81">
        <f>Historicals!H10</f>
        <v>-121044</v>
      </c>
      <c r="I11" s="81">
        <f>Historicals!I10</f>
        <v>-123584</v>
      </c>
      <c r="J11" s="81">
        <f>Historicals!J10</f>
        <v>-148604</v>
      </c>
      <c r="K11" s="81">
        <f>Intangible!K7+'PPE Schedule'!K7</f>
        <v>-175630.29548361286</v>
      </c>
      <c r="L11" s="81">
        <f>Intangible!L7+'PPE Schedule'!L7</f>
        <v>-210559.53530493617</v>
      </c>
      <c r="M11" s="81">
        <f>Intangible!M7+'PPE Schedule'!M7</f>
        <v>-245252.39172717751</v>
      </c>
      <c r="N11" s="81">
        <f>Intangible!N7+'PPE Schedule'!N7</f>
        <v>-279212.67916152411</v>
      </c>
      <c r="O11" s="81">
        <f>Intangible!O7+'PPE Schedule'!O7</f>
        <v>-312015.77972306625</v>
      </c>
      <c r="R11" s="16">
        <f t="shared" si="1"/>
        <v>7</v>
      </c>
      <c r="S11" s="65">
        <v>2025</v>
      </c>
      <c r="T11" s="49">
        <v>1606579</v>
      </c>
      <c r="U11" s="15">
        <f t="shared" si="2"/>
        <v>5.3982368230800715E-2</v>
      </c>
    </row>
    <row r="12" spans="2:21" ht="13" x14ac:dyDescent="0.3">
      <c r="B12" s="2" t="s">
        <v>11</v>
      </c>
      <c r="D12" s="18">
        <f>Historicals!D11</f>
        <v>260559</v>
      </c>
      <c r="E12" s="18">
        <f>Historicals!E11</f>
        <v>326539</v>
      </c>
      <c r="F12" s="18">
        <f>Historicals!F11</f>
        <v>774063</v>
      </c>
      <c r="G12" s="18">
        <f>Historicals!G11</f>
        <v>891080</v>
      </c>
      <c r="H12" s="18">
        <f>Historicals!H11</f>
        <v>371310</v>
      </c>
      <c r="I12" s="18">
        <f>Historicals!I11</f>
        <v>429207</v>
      </c>
      <c r="J12" s="18">
        <f>Historicals!J11</f>
        <v>320511</v>
      </c>
      <c r="K12" s="18">
        <f t="shared" ref="K12:O12" si="7">SUM(K10:K11)</f>
        <v>455532.27613987803</v>
      </c>
      <c r="L12" s="18">
        <f t="shared" si="7"/>
        <v>484122.97528315004</v>
      </c>
      <c r="M12" s="18">
        <f t="shared" si="7"/>
        <v>514537.92889693251</v>
      </c>
      <c r="N12" s="18">
        <f t="shared" si="7"/>
        <v>547273.32257003826</v>
      </c>
      <c r="O12" s="18">
        <f t="shared" si="7"/>
        <v>582753.77418737707</v>
      </c>
      <c r="R12" s="16">
        <f t="shared" si="1"/>
        <v>8</v>
      </c>
      <c r="S12" s="66">
        <v>2026</v>
      </c>
      <c r="T12" s="18">
        <f t="shared" ref="T12:T16" si="8">FORECAST(R12,$T$5:$T$11,$R$5:$R$11)</f>
        <v>1879262.2857142854</v>
      </c>
      <c r="U12" s="15">
        <f t="shared" si="2"/>
        <v>0.16972914852882148</v>
      </c>
    </row>
    <row r="13" spans="2:21" ht="12.5" x14ac:dyDescent="0.25">
      <c r="B13" s="1" t="s">
        <v>12</v>
      </c>
      <c r="D13" s="17">
        <f>Historicals!D12</f>
        <v>-50010</v>
      </c>
      <c r="E13" s="17">
        <f>Historicals!E12</f>
        <v>-84244</v>
      </c>
      <c r="F13" s="17">
        <f>Historicals!F12</f>
        <v>-22428</v>
      </c>
      <c r="G13" s="17">
        <f>Historicals!G12</f>
        <v>-11045</v>
      </c>
      <c r="H13" s="17">
        <f>Historicals!H12</f>
        <v>-25587</v>
      </c>
      <c r="I13" s="17">
        <f>Historicals!I12</f>
        <v>-36138</v>
      </c>
      <c r="J13" s="17">
        <f>Historicals!J12</f>
        <v>-57539</v>
      </c>
      <c r="K13" s="17">
        <f>-Financing!K23</f>
        <v>-49838.581252000527</v>
      </c>
      <c r="L13" s="17">
        <f>-Financing!L23</f>
        <v>-51007.275499452342</v>
      </c>
      <c r="M13" s="17">
        <f>-Financing!M23</f>
        <v>-52092.674479415378</v>
      </c>
      <c r="N13" s="17">
        <f>-Financing!N23</f>
        <v>-53094.778191889622</v>
      </c>
      <c r="O13" s="17">
        <f>-Financing!O23</f>
        <v>-54013.586636875087</v>
      </c>
      <c r="R13" s="16">
        <f t="shared" si="1"/>
        <v>9</v>
      </c>
      <c r="S13" s="66">
        <v>2027</v>
      </c>
      <c r="T13" s="17">
        <f t="shared" si="8"/>
        <v>2038049.3928571427</v>
      </c>
      <c r="U13" s="15">
        <f t="shared" si="2"/>
        <v>8.4494382902227105E-2</v>
      </c>
    </row>
    <row r="14" spans="2:21" ht="12.5" x14ac:dyDescent="0.25">
      <c r="B14" s="1" t="s">
        <v>13</v>
      </c>
      <c r="D14" s="17">
        <f>Historicals!D13</f>
        <v>0</v>
      </c>
      <c r="E14" s="17">
        <f>Historicals!E13</f>
        <v>-1107</v>
      </c>
      <c r="F14" s="17">
        <f>Historicals!F13</f>
        <v>10237</v>
      </c>
      <c r="G14" s="17">
        <f>Historicals!G13</f>
        <v>8560</v>
      </c>
      <c r="H14" s="17">
        <f>Historicals!H13</f>
        <v>822</v>
      </c>
      <c r="I14" s="17">
        <f>Historicals!I13</f>
        <v>-242</v>
      </c>
      <c r="J14" s="17">
        <f>Historicals!J13</f>
        <v>2175</v>
      </c>
      <c r="K14" s="48">
        <v>0</v>
      </c>
      <c r="L14" s="16">
        <f t="shared" ref="L14:O14" si="9">K14</f>
        <v>0</v>
      </c>
      <c r="M14" s="16">
        <f t="shared" si="9"/>
        <v>0</v>
      </c>
      <c r="N14" s="16">
        <f t="shared" si="9"/>
        <v>0</v>
      </c>
      <c r="O14" s="16">
        <f t="shared" si="9"/>
        <v>0</v>
      </c>
      <c r="R14" s="16">
        <f t="shared" si="1"/>
        <v>10</v>
      </c>
      <c r="S14" s="66">
        <v>2028</v>
      </c>
      <c r="T14" s="17">
        <f t="shared" si="8"/>
        <v>2196836.5</v>
      </c>
      <c r="U14" s="15">
        <f t="shared" si="2"/>
        <v>7.7911314465374026E-2</v>
      </c>
    </row>
    <row r="15" spans="2:21" ht="12.5" x14ac:dyDescent="0.25">
      <c r="B15" s="1" t="s">
        <v>14</v>
      </c>
      <c r="D15" s="17">
        <f>Historicals!D14</f>
        <v>3062</v>
      </c>
      <c r="E15" s="17">
        <f>Historicals!E14</f>
        <v>0</v>
      </c>
      <c r="F15" s="17">
        <f>Historicals!F14</f>
        <v>0</v>
      </c>
      <c r="G15" s="17">
        <f>Historicals!G14</f>
        <v>-17752</v>
      </c>
      <c r="H15" s="17">
        <f>Historicals!H14</f>
        <v>0</v>
      </c>
      <c r="I15" s="17">
        <f>Historicals!I14</f>
        <v>0</v>
      </c>
      <c r="J15" s="17">
        <f>Historicals!J14</f>
        <v>0</v>
      </c>
      <c r="K15" s="48">
        <v>0</v>
      </c>
      <c r="L15" s="16">
        <f t="shared" ref="L15:O15" si="10">K15</f>
        <v>0</v>
      </c>
      <c r="M15" s="16">
        <f t="shared" si="10"/>
        <v>0</v>
      </c>
      <c r="N15" s="16">
        <f t="shared" si="10"/>
        <v>0</v>
      </c>
      <c r="O15" s="16">
        <f t="shared" si="10"/>
        <v>0</v>
      </c>
      <c r="R15" s="16">
        <f t="shared" si="1"/>
        <v>11</v>
      </c>
      <c r="S15" s="66">
        <v>2029</v>
      </c>
      <c r="T15" s="17">
        <f t="shared" si="8"/>
        <v>2355623.6071428568</v>
      </c>
      <c r="U15" s="15">
        <f t="shared" si="2"/>
        <v>7.2279892992881623E-2</v>
      </c>
    </row>
    <row r="16" spans="2:21" ht="12.5" x14ac:dyDescent="0.25">
      <c r="B16" s="1" t="s">
        <v>15</v>
      </c>
      <c r="D16" s="17">
        <f>Historicals!D15</f>
        <v>213611</v>
      </c>
      <c r="E16" s="17">
        <f>Historicals!E15</f>
        <v>241188</v>
      </c>
      <c r="F16" s="17">
        <f>Historicals!F15</f>
        <v>761872</v>
      </c>
      <c r="G16" s="17">
        <f>Historicals!G15</f>
        <v>870843</v>
      </c>
      <c r="H16" s="17">
        <f>Historicals!H15</f>
        <v>346545</v>
      </c>
      <c r="I16" s="17">
        <f>Historicals!I15</f>
        <v>392827</v>
      </c>
      <c r="J16" s="17">
        <f>Historicals!J15</f>
        <v>265147</v>
      </c>
      <c r="K16" s="17">
        <f t="shared" ref="K16:O16" si="11">SUM(K12:K15)</f>
        <v>405693.6948878775</v>
      </c>
      <c r="L16" s="17">
        <f t="shared" si="11"/>
        <v>433115.69978369772</v>
      </c>
      <c r="M16" s="17">
        <f t="shared" si="11"/>
        <v>462445.25441751711</v>
      </c>
      <c r="N16" s="17">
        <f t="shared" si="11"/>
        <v>494178.54437814862</v>
      </c>
      <c r="O16" s="17">
        <f t="shared" si="11"/>
        <v>528740.18755050201</v>
      </c>
      <c r="R16" s="16">
        <f t="shared" si="1"/>
        <v>12</v>
      </c>
      <c r="S16" s="66">
        <v>2030</v>
      </c>
      <c r="T16" s="17">
        <f t="shared" si="8"/>
        <v>2514410.7142857141</v>
      </c>
      <c r="U16" s="15">
        <f t="shared" si="2"/>
        <v>6.7407673560994086E-2</v>
      </c>
    </row>
    <row r="17" spans="2:23" ht="12.5" x14ac:dyDescent="0.25">
      <c r="B17" s="79" t="s">
        <v>16</v>
      </c>
      <c r="C17" s="80"/>
      <c r="D17" s="81">
        <f>Historicals!D16</f>
        <v>-66012</v>
      </c>
      <c r="E17" s="81">
        <f>Historicals!E16</f>
        <v>-120138</v>
      </c>
      <c r="F17" s="81">
        <f>Historicals!F16</f>
        <v>-297447</v>
      </c>
      <c r="G17" s="81">
        <f>Historicals!G16</f>
        <v>-348258</v>
      </c>
      <c r="H17" s="81">
        <f>Historicals!H16</f>
        <v>-145838</v>
      </c>
      <c r="I17" s="81">
        <f>Historicals!I16</f>
        <v>-158636</v>
      </c>
      <c r="J17" s="81">
        <f>Historicals!J16</f>
        <v>-123102</v>
      </c>
      <c r="K17" s="81">
        <f t="shared" ref="K17:O17" si="12">-(K16*K35)</f>
        <v>-162277.477955151</v>
      </c>
      <c r="L17" s="81">
        <f t="shared" si="12"/>
        <v>-173246.27991347911</v>
      </c>
      <c r="M17" s="81">
        <f t="shared" si="12"/>
        <v>-184978.10176700685</v>
      </c>
      <c r="N17" s="81">
        <f t="shared" si="12"/>
        <v>-197671.41775125946</v>
      </c>
      <c r="O17" s="81">
        <f t="shared" si="12"/>
        <v>-211496.07502020081</v>
      </c>
      <c r="U17" s="67"/>
      <c r="V17" s="67"/>
      <c r="W17" s="67"/>
    </row>
    <row r="18" spans="2:23" ht="13" x14ac:dyDescent="0.3">
      <c r="B18" s="2" t="s">
        <v>17</v>
      </c>
      <c r="D18" s="18">
        <f>Historicals!D17</f>
        <v>147599</v>
      </c>
      <c r="E18" s="18">
        <f>Historicals!E17</f>
        <v>121050</v>
      </c>
      <c r="F18" s="18">
        <f>Historicals!F17</f>
        <v>464425</v>
      </c>
      <c r="G18" s="18">
        <f>Historicals!G17</f>
        <v>522585</v>
      </c>
      <c r="H18" s="18">
        <f>Historicals!H17</f>
        <v>200707</v>
      </c>
      <c r="I18" s="18">
        <f>Historicals!I17</f>
        <v>234191</v>
      </c>
      <c r="J18" s="18">
        <f>Historicals!J17</f>
        <v>142045</v>
      </c>
      <c r="K18" s="18">
        <f t="shared" ref="K18:O18" si="13">SUM(K16:K17)</f>
        <v>243416.2169327265</v>
      </c>
      <c r="L18" s="18">
        <f t="shared" si="13"/>
        <v>259869.41987021861</v>
      </c>
      <c r="M18" s="18">
        <f t="shared" si="13"/>
        <v>277467.15265051025</v>
      </c>
      <c r="N18" s="18">
        <f t="shared" si="13"/>
        <v>296507.12662688916</v>
      </c>
      <c r="O18" s="18">
        <f t="shared" si="13"/>
        <v>317244.11253030121</v>
      </c>
    </row>
    <row r="19" spans="2:23" ht="13" x14ac:dyDescent="0.3">
      <c r="B19" s="2"/>
      <c r="D19" s="15"/>
      <c r="E19" s="15"/>
      <c r="F19" s="15"/>
      <c r="G19" s="15"/>
      <c r="H19" s="15"/>
      <c r="I19" s="15"/>
      <c r="J19" s="15"/>
    </row>
    <row r="20" spans="2:23" ht="12.5" x14ac:dyDescent="0.25">
      <c r="B20" s="1" t="s">
        <v>18</v>
      </c>
      <c r="D20" s="17">
        <f>Historicals!D19</f>
        <v>420700</v>
      </c>
      <c r="E20" s="17">
        <f>Historicals!E19</f>
        <v>441600</v>
      </c>
      <c r="F20" s="17">
        <f>Historicals!F19</f>
        <v>478600</v>
      </c>
      <c r="G20" s="17">
        <f>Historicals!G19</f>
        <v>507600</v>
      </c>
      <c r="H20" s="17">
        <f>Historicals!H19</f>
        <v>517000</v>
      </c>
      <c r="I20" s="17">
        <f>Historicals!I19</f>
        <v>517600</v>
      </c>
      <c r="J20" s="17">
        <f>Historicals!J19</f>
        <v>518200.00000000006</v>
      </c>
      <c r="K20" s="17">
        <f t="shared" ref="K20:O20" si="14">J20</f>
        <v>518200.00000000006</v>
      </c>
      <c r="L20" s="17">
        <f t="shared" si="14"/>
        <v>518200.00000000006</v>
      </c>
      <c r="M20" s="17">
        <f t="shared" si="14"/>
        <v>518200.00000000006</v>
      </c>
      <c r="N20" s="17">
        <f t="shared" si="14"/>
        <v>518200.00000000006</v>
      </c>
      <c r="O20" s="17">
        <f t="shared" si="14"/>
        <v>518200.00000000006</v>
      </c>
    </row>
    <row r="21" spans="2:23" ht="13" x14ac:dyDescent="0.3">
      <c r="B21" s="2" t="s">
        <v>19</v>
      </c>
      <c r="D21" s="20">
        <f>Historicals!D20</f>
        <v>0.35084145471832662</v>
      </c>
      <c r="E21" s="20">
        <f>Historicals!E20</f>
        <v>0.27411684782608697</v>
      </c>
      <c r="F21" s="20">
        <f>Historicals!F20</f>
        <v>0.97038236523192645</v>
      </c>
      <c r="G21" s="20">
        <f>Historicals!G20</f>
        <v>1.0295212765957447</v>
      </c>
      <c r="H21" s="20">
        <f>Historicals!H20</f>
        <v>0.38821470019342358</v>
      </c>
      <c r="I21" s="20">
        <f>Historicals!I20</f>
        <v>0.45245556414219473</v>
      </c>
      <c r="J21" s="20">
        <f>Historicals!J20</f>
        <v>0.27411231184870705</v>
      </c>
      <c r="K21" s="20">
        <f t="shared" ref="K21:O21" si="15">K18/K20</f>
        <v>0.46973411218202715</v>
      </c>
      <c r="L21" s="20">
        <f t="shared" si="15"/>
        <v>0.50148479326557038</v>
      </c>
      <c r="M21" s="20">
        <f t="shared" si="15"/>
        <v>0.5354441386540143</v>
      </c>
      <c r="N21" s="20">
        <f t="shared" si="15"/>
        <v>0.57218665887087827</v>
      </c>
      <c r="O21" s="20">
        <f t="shared" si="15"/>
        <v>0.61220399947954685</v>
      </c>
    </row>
    <row r="23" spans="2:23" ht="13" x14ac:dyDescent="0.3">
      <c r="B23" s="11" t="s">
        <v>243</v>
      </c>
    </row>
    <row r="24" spans="2:23" ht="12.5" x14ac:dyDescent="0.25">
      <c r="B24" s="16" t="s">
        <v>241</v>
      </c>
      <c r="E24" s="15">
        <f t="shared" ref="E24:O24" si="16">E6/D6-1</f>
        <v>0.19836856558021387</v>
      </c>
      <c r="F24" s="15">
        <f t="shared" si="16"/>
        <v>0.63270648056391265</v>
      </c>
      <c r="G24" s="15">
        <f t="shared" si="16"/>
        <v>0.13963871541525097</v>
      </c>
      <c r="H24" s="15">
        <f t="shared" si="16"/>
        <v>-4.4987493205805529E-2</v>
      </c>
      <c r="I24" s="15">
        <f t="shared" si="16"/>
        <v>9.2614946153934286E-2</v>
      </c>
      <c r="J24" s="15">
        <f t="shared" si="16"/>
        <v>5.3982368230800715E-2</v>
      </c>
      <c r="K24" s="15">
        <f t="shared" si="16"/>
        <v>0.16972914852882148</v>
      </c>
      <c r="L24" s="15">
        <f t="shared" si="16"/>
        <v>8.4494382902227105E-2</v>
      </c>
      <c r="M24" s="15">
        <f t="shared" si="16"/>
        <v>7.7911314465374026E-2</v>
      </c>
      <c r="N24" s="15">
        <f t="shared" si="16"/>
        <v>7.2279892992881623E-2</v>
      </c>
      <c r="O24" s="15">
        <f t="shared" si="16"/>
        <v>6.7407673560994086E-2</v>
      </c>
    </row>
    <row r="25" spans="2:23" ht="12.5" x14ac:dyDescent="0.25">
      <c r="B25" s="16" t="str">
        <f>B8</f>
        <v xml:space="preserve">Gross Profit </v>
      </c>
      <c r="E25" s="15">
        <f t="shared" ref="E25:O25" si="17">E8/D8-1</f>
        <v>0.27222832414746212</v>
      </c>
      <c r="F25" s="15">
        <f t="shared" si="17"/>
        <v>1.2112864839079327</v>
      </c>
      <c r="G25" s="15">
        <f t="shared" si="17"/>
        <v>0.17491995268092575</v>
      </c>
      <c r="H25" s="15">
        <f t="shared" si="17"/>
        <v>-0.42888932351955045</v>
      </c>
      <c r="I25" s="15">
        <f t="shared" si="17"/>
        <v>0.11871905172925912</v>
      </c>
      <c r="J25" s="15">
        <f t="shared" si="17"/>
        <v>-0.14046530224654519</v>
      </c>
      <c r="K25" s="15">
        <f t="shared" si="17"/>
        <v>0.33498694480878854</v>
      </c>
      <c r="L25" s="15">
        <f t="shared" si="17"/>
        <v>0.1122345941186802</v>
      </c>
      <c r="M25" s="15">
        <f t="shared" si="17"/>
        <v>0.10479546974519405</v>
      </c>
      <c r="N25" s="15">
        <f t="shared" si="17"/>
        <v>9.8372812393880071E-2</v>
      </c>
      <c r="O25" s="15">
        <f t="shared" si="17"/>
        <v>9.2764985832345603E-2</v>
      </c>
    </row>
    <row r="26" spans="2:23" ht="12.5" x14ac:dyDescent="0.25">
      <c r="B26" s="16" t="s">
        <v>9</v>
      </c>
      <c r="E26" s="15">
        <f t="shared" ref="E26:O26" si="18">E10/D10-1</f>
        <v>0.2669114172512812</v>
      </c>
      <c r="F26" s="15">
        <f t="shared" si="18"/>
        <v>1.3217995065128822</v>
      </c>
      <c r="G26" s="15">
        <f t="shared" si="18"/>
        <v>0.15541619297118281</v>
      </c>
      <c r="H26" s="15">
        <f t="shared" si="18"/>
        <v>-0.47342325047138578</v>
      </c>
      <c r="I26" s="15">
        <f t="shared" si="18"/>
        <v>0.12275110997371819</v>
      </c>
      <c r="J26" s="15">
        <f t="shared" si="18"/>
        <v>-0.15137004763102146</v>
      </c>
      <c r="K26" s="15">
        <f t="shared" si="18"/>
        <v>0.34543250934950032</v>
      </c>
      <c r="L26" s="15">
        <f t="shared" si="18"/>
        <v>0.10063958450705957</v>
      </c>
      <c r="M26" s="15">
        <f t="shared" si="18"/>
        <v>9.3723116738474666E-2</v>
      </c>
      <c r="N26" s="15">
        <f t="shared" si="18"/>
        <v>8.7781693576547193E-2</v>
      </c>
      <c r="O26" s="15">
        <f t="shared" si="18"/>
        <v>8.2619127288085847E-2</v>
      </c>
    </row>
    <row r="27" spans="2:23" ht="12.5" x14ac:dyDescent="0.25">
      <c r="B27" s="16" t="s">
        <v>11</v>
      </c>
      <c r="E27" s="15">
        <f t="shared" ref="E27:O27" si="19">E12/D12-1</f>
        <v>0.25322479745470305</v>
      </c>
      <c r="F27" s="15">
        <f t="shared" si="19"/>
        <v>1.370507045100279</v>
      </c>
      <c r="G27" s="15">
        <f t="shared" si="19"/>
        <v>0.15117244978767874</v>
      </c>
      <c r="H27" s="15">
        <f t="shared" si="19"/>
        <v>-0.58330340710149486</v>
      </c>
      <c r="I27" s="15">
        <f t="shared" si="19"/>
        <v>0.15592631493899978</v>
      </c>
      <c r="J27" s="15">
        <f t="shared" si="19"/>
        <v>-0.25324843257449203</v>
      </c>
      <c r="K27" s="15">
        <f t="shared" si="19"/>
        <v>0.42126877436305787</v>
      </c>
      <c r="L27" s="15">
        <f t="shared" si="19"/>
        <v>6.2763278566221326E-2</v>
      </c>
      <c r="M27" s="15">
        <f t="shared" si="19"/>
        <v>6.2824850640467167E-2</v>
      </c>
      <c r="N27" s="15">
        <f t="shared" si="19"/>
        <v>6.3620953548135795E-2</v>
      </c>
      <c r="O27" s="15">
        <f t="shared" si="19"/>
        <v>6.4831319478025895E-2</v>
      </c>
    </row>
    <row r="28" spans="2:23" ht="12.5" x14ac:dyDescent="0.25">
      <c r="B28" s="16" t="s">
        <v>15</v>
      </c>
      <c r="E28" s="15">
        <f t="shared" ref="E28:O28" si="20">E16/D16-1</f>
        <v>0.12909915687862505</v>
      </c>
      <c r="F28" s="15">
        <f t="shared" si="20"/>
        <v>2.1588304559099125</v>
      </c>
      <c r="G28" s="15">
        <f t="shared" si="20"/>
        <v>0.143030587815276</v>
      </c>
      <c r="H28" s="15">
        <f t="shared" si="20"/>
        <v>-0.60205800586328417</v>
      </c>
      <c r="I28" s="15">
        <f t="shared" si="20"/>
        <v>0.13355264107114517</v>
      </c>
      <c r="J28" s="15">
        <f t="shared" si="20"/>
        <v>-0.32502857491974835</v>
      </c>
      <c r="K28" s="15">
        <f t="shared" si="20"/>
        <v>0.53007084706927676</v>
      </c>
      <c r="L28" s="15">
        <f t="shared" si="20"/>
        <v>6.7592879163179687E-2</v>
      </c>
      <c r="M28" s="15">
        <f t="shared" si="20"/>
        <v>6.7717597511396832E-2</v>
      </c>
      <c r="N28" s="15">
        <f t="shared" si="20"/>
        <v>6.8620641378625225E-2</v>
      </c>
      <c r="O28" s="15">
        <f t="shared" si="20"/>
        <v>6.993756318547617E-2</v>
      </c>
    </row>
    <row r="29" spans="2:23" ht="12.5" x14ac:dyDescent="0.25">
      <c r="B29" s="16" t="s">
        <v>17</v>
      </c>
      <c r="E29" s="15">
        <f t="shared" ref="E29:O29" si="21">E18/D18-1</f>
        <v>-0.1798724923610594</v>
      </c>
      <c r="F29" s="15">
        <f t="shared" si="21"/>
        <v>2.8366377529946303</v>
      </c>
      <c r="G29" s="15">
        <f t="shared" si="21"/>
        <v>0.12523012327071115</v>
      </c>
      <c r="H29" s="15">
        <f t="shared" si="21"/>
        <v>-0.61593424993063328</v>
      </c>
      <c r="I29" s="15">
        <f t="shared" si="21"/>
        <v>0.16683025504840399</v>
      </c>
      <c r="J29" s="15">
        <f t="shared" si="21"/>
        <v>-0.39346516305067236</v>
      </c>
      <c r="K29" s="15">
        <f t="shared" si="21"/>
        <v>0.71365565090447736</v>
      </c>
      <c r="L29" s="15">
        <f t="shared" si="21"/>
        <v>6.7592879163179687E-2</v>
      </c>
      <c r="M29" s="15">
        <f t="shared" si="21"/>
        <v>6.7717597511396832E-2</v>
      </c>
      <c r="N29" s="15">
        <f t="shared" si="21"/>
        <v>6.8620641378625225E-2</v>
      </c>
      <c r="O29" s="15">
        <f t="shared" si="21"/>
        <v>6.993756318547617E-2</v>
      </c>
    </row>
    <row r="32" spans="2:23" ht="13" x14ac:dyDescent="0.3">
      <c r="B32" s="11" t="s">
        <v>244</v>
      </c>
    </row>
    <row r="33" spans="1:17" ht="13" x14ac:dyDescent="0.3">
      <c r="B33" s="16" t="s">
        <v>245</v>
      </c>
      <c r="D33" s="15">
        <f>D8/D$6</f>
        <v>0.4627836655070986</v>
      </c>
      <c r="E33" s="15">
        <f t="shared" ref="E33:J33" si="22">E8/E6</f>
        <v>0.49130668487274004</v>
      </c>
      <c r="F33" s="15">
        <f t="shared" si="22"/>
        <v>0.66541037513213686</v>
      </c>
      <c r="G33" s="15">
        <f t="shared" si="22"/>
        <v>0.68601032580643839</v>
      </c>
      <c r="H33" s="15">
        <f t="shared" si="22"/>
        <v>0.41024365488055231</v>
      </c>
      <c r="I33" s="15">
        <f t="shared" si="22"/>
        <v>0.42004495195808683</v>
      </c>
      <c r="J33" s="15">
        <f t="shared" si="22"/>
        <v>0.34255147116948498</v>
      </c>
      <c r="K33" s="15">
        <f t="shared" ref="K33:K34" si="23">AVERAGE(H33:J33)</f>
        <v>0.39094669266937471</v>
      </c>
      <c r="L33" s="15">
        <f t="shared" ref="L33:O33" si="24">K33+$P$33</f>
        <v>0.40094669266937472</v>
      </c>
      <c r="M33" s="15">
        <f t="shared" si="24"/>
        <v>0.41094669266937472</v>
      </c>
      <c r="N33" s="15">
        <f t="shared" si="24"/>
        <v>0.42094669266937473</v>
      </c>
      <c r="O33" s="15">
        <f t="shared" si="24"/>
        <v>0.43094669266937474</v>
      </c>
      <c r="P33" s="68">
        <v>0.01</v>
      </c>
      <c r="Q33" s="11" t="s">
        <v>202</v>
      </c>
    </row>
    <row r="34" spans="1:17" ht="13" x14ac:dyDescent="0.3">
      <c r="B34" s="16" t="s">
        <v>246</v>
      </c>
      <c r="D34" s="15">
        <f t="shared" ref="D34:J34" si="25">D10/D$6</f>
        <v>0.41993256289982583</v>
      </c>
      <c r="E34" s="15">
        <f t="shared" si="25"/>
        <v>0.44395136329013635</v>
      </c>
      <c r="F34" s="15">
        <f t="shared" si="25"/>
        <v>0.63132355293080511</v>
      </c>
      <c r="G34" s="15">
        <f t="shared" si="25"/>
        <v>0.64006377301298045</v>
      </c>
      <c r="H34" s="15">
        <f t="shared" si="25"/>
        <v>0.35291967245077011</v>
      </c>
      <c r="I34" s="15">
        <f t="shared" si="25"/>
        <v>0.36265379250984392</v>
      </c>
      <c r="J34" s="15">
        <f t="shared" si="25"/>
        <v>0.29199622303042677</v>
      </c>
      <c r="K34" s="15">
        <f t="shared" si="23"/>
        <v>0.33585656266368025</v>
      </c>
      <c r="L34" s="15">
        <f t="shared" ref="L34:O34" si="26">K34+$P34</f>
        <v>0.34085656266368025</v>
      </c>
      <c r="M34" s="15">
        <f t="shared" si="26"/>
        <v>0.34585656266368026</v>
      </c>
      <c r="N34" s="15">
        <f t="shared" si="26"/>
        <v>0.35085656266368026</v>
      </c>
      <c r="O34" s="15">
        <f t="shared" si="26"/>
        <v>0.35585656266368026</v>
      </c>
      <c r="P34" s="68">
        <v>5.0000000000000001E-3</v>
      </c>
      <c r="Q34" s="11" t="s">
        <v>202</v>
      </c>
    </row>
    <row r="35" spans="1:17" ht="12.5" x14ac:dyDescent="0.25">
      <c r="B35" s="16" t="s">
        <v>114</v>
      </c>
      <c r="D35" s="15">
        <f t="shared" ref="D35:J35" si="27">-D17/D16</f>
        <v>0.30902902940391647</v>
      </c>
      <c r="E35" s="15">
        <f t="shared" si="27"/>
        <v>0.49810935867456091</v>
      </c>
      <c r="F35" s="15">
        <f t="shared" si="27"/>
        <v>0.39041597538694162</v>
      </c>
      <c r="G35" s="15">
        <f t="shared" si="27"/>
        <v>0.39990905364112705</v>
      </c>
      <c r="H35" s="15">
        <f t="shared" si="27"/>
        <v>0.4208342350921237</v>
      </c>
      <c r="I35" s="15">
        <f t="shared" si="27"/>
        <v>0.4038317121786435</v>
      </c>
      <c r="J35" s="15">
        <f t="shared" si="27"/>
        <v>0.46427830599629638</v>
      </c>
      <c r="K35" s="46">
        <v>0.4</v>
      </c>
      <c r="L35" s="38">
        <f t="shared" ref="L35:O35" si="28">K35</f>
        <v>0.4</v>
      </c>
      <c r="M35" s="38">
        <f t="shared" si="28"/>
        <v>0.4</v>
      </c>
      <c r="N35" s="38">
        <f t="shared" si="28"/>
        <v>0.4</v>
      </c>
      <c r="O35" s="38">
        <f t="shared" si="28"/>
        <v>0.4</v>
      </c>
    </row>
    <row r="38" spans="1:17" ht="13" x14ac:dyDescent="0.3">
      <c r="A38" s="16" t="s">
        <v>2</v>
      </c>
      <c r="B38" s="11" t="s">
        <v>247</v>
      </c>
    </row>
    <row r="39" spans="1:17" ht="16.5" customHeight="1" x14ac:dyDescent="0.25">
      <c r="B39" s="16" t="s">
        <v>248</v>
      </c>
    </row>
    <row r="40" spans="1:17" ht="12.5" x14ac:dyDescent="0.25">
      <c r="B40" s="16" t="s">
        <v>249</v>
      </c>
    </row>
    <row r="41" spans="1:17" ht="12.5" x14ac:dyDescent="0.25">
      <c r="B41" s="16" t="s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I34"/>
  <sheetViews>
    <sheetView showGridLines="0" topLeftCell="A15" workbookViewId="0"/>
  </sheetViews>
  <sheetFormatPr defaultColWidth="12.6328125" defaultRowHeight="15.75" customHeight="1" x14ac:dyDescent="0.25"/>
  <cols>
    <col min="1" max="1" width="4.453125" customWidth="1"/>
    <col min="2" max="2" width="16.36328125" customWidth="1"/>
  </cols>
  <sheetData>
    <row r="2" spans="2:9" ht="15.75" customHeight="1" x14ac:dyDescent="0.3">
      <c r="B2" s="11" t="s">
        <v>251</v>
      </c>
    </row>
    <row r="4" spans="2:9" ht="15.75" customHeight="1" x14ac:dyDescent="0.3">
      <c r="B4" s="3" t="s">
        <v>1</v>
      </c>
      <c r="C4" s="3"/>
      <c r="D4" s="5">
        <v>2025</v>
      </c>
      <c r="E4" s="56">
        <f t="shared" ref="E4:I4" si="0">D4+1</f>
        <v>2026</v>
      </c>
      <c r="F4" s="56">
        <f t="shared" si="0"/>
        <v>2027</v>
      </c>
      <c r="G4" s="56">
        <f t="shared" si="0"/>
        <v>2028</v>
      </c>
      <c r="H4" s="56">
        <f t="shared" si="0"/>
        <v>2029</v>
      </c>
      <c r="I4" s="56">
        <f t="shared" si="0"/>
        <v>2030</v>
      </c>
    </row>
    <row r="6" spans="2:9" ht="15.75" customHeight="1" x14ac:dyDescent="0.25">
      <c r="B6" s="16" t="s">
        <v>11</v>
      </c>
      <c r="D6" s="17">
        <f>'Final Income Statement'!J12</f>
        <v>320511</v>
      </c>
      <c r="E6" s="17">
        <f>'Final Income Statement'!K12</f>
        <v>455532.27613987803</v>
      </c>
      <c r="F6" s="17">
        <f>'Final Income Statement'!L12</f>
        <v>484122.97528315004</v>
      </c>
      <c r="G6" s="17">
        <f>'Final Income Statement'!M12</f>
        <v>514537.92889693251</v>
      </c>
      <c r="H6" s="17">
        <f>'Final Income Statement'!N12</f>
        <v>547273.32257003826</v>
      </c>
      <c r="I6" s="17">
        <f>'Final Income Statement'!O12</f>
        <v>582753.77418737707</v>
      </c>
    </row>
    <row r="7" spans="2:9" ht="15.75" customHeight="1" x14ac:dyDescent="0.25">
      <c r="B7" s="16" t="s">
        <v>189</v>
      </c>
      <c r="D7" s="38">
        <f>Growth!J38</f>
        <v>0.4</v>
      </c>
      <c r="E7" s="38">
        <f t="shared" ref="E7:I7" si="1">D7</f>
        <v>0.4</v>
      </c>
      <c r="F7" s="38">
        <f t="shared" si="1"/>
        <v>0.4</v>
      </c>
      <c r="G7" s="38">
        <f t="shared" si="1"/>
        <v>0.4</v>
      </c>
      <c r="H7" s="38">
        <f t="shared" si="1"/>
        <v>0.4</v>
      </c>
      <c r="I7" s="38">
        <f t="shared" si="1"/>
        <v>0.4</v>
      </c>
    </row>
    <row r="8" spans="2:9" ht="15.75" customHeight="1" x14ac:dyDescent="0.25">
      <c r="B8" s="16" t="s">
        <v>190</v>
      </c>
      <c r="D8" s="17">
        <f>Growth!J39</f>
        <v>192306.6</v>
      </c>
      <c r="E8" s="17">
        <f t="shared" ref="E8:I8" si="2">E6*(1-E7)</f>
        <v>273319.36568392679</v>
      </c>
      <c r="F8" s="17">
        <f t="shared" si="2"/>
        <v>290473.78516989003</v>
      </c>
      <c r="G8" s="17">
        <f t="shared" si="2"/>
        <v>308722.75733815948</v>
      </c>
      <c r="H8" s="17">
        <f t="shared" si="2"/>
        <v>328363.99354202294</v>
      </c>
      <c r="I8" s="17">
        <f t="shared" si="2"/>
        <v>349652.26451242622</v>
      </c>
    </row>
    <row r="10" spans="2:9" ht="15.75" customHeight="1" x14ac:dyDescent="0.25">
      <c r="B10" s="16" t="s">
        <v>192</v>
      </c>
      <c r="D10" s="38">
        <f>Growth!J44</f>
        <v>1.1811830183717325</v>
      </c>
      <c r="E10" s="38">
        <f t="shared" ref="E10:H10" si="3">D10+(($I10-$D10)/5)</f>
        <v>1.0449464146973859</v>
      </c>
      <c r="F10" s="38">
        <f t="shared" si="3"/>
        <v>0.90870981102303938</v>
      </c>
      <c r="G10" s="38">
        <f t="shared" si="3"/>
        <v>0.77247320734869285</v>
      </c>
      <c r="H10" s="38">
        <f t="shared" si="3"/>
        <v>0.63623660367434631</v>
      </c>
      <c r="I10" s="46">
        <v>0.5</v>
      </c>
    </row>
    <row r="12" spans="2:9" ht="15.75" customHeight="1" x14ac:dyDescent="0.25">
      <c r="B12" s="16" t="s">
        <v>231</v>
      </c>
      <c r="D12" s="17">
        <f t="shared" ref="D12:I12" si="4">D8*(1-D10)</f>
        <v>-34842.690240805408</v>
      </c>
      <c r="E12" s="17">
        <f t="shared" si="4"/>
        <v>-12284.725554856243</v>
      </c>
      <c r="F12" s="17">
        <f t="shared" si="4"/>
        <v>26517.406741012321</v>
      </c>
      <c r="G12" s="17">
        <f t="shared" si="4"/>
        <v>70242.698795619232</v>
      </c>
      <c r="H12" s="17">
        <f t="shared" si="4"/>
        <v>119446.80152190127</v>
      </c>
      <c r="I12" s="17">
        <f t="shared" si="4"/>
        <v>174826.13225621311</v>
      </c>
    </row>
    <row r="14" spans="2:9" ht="15.75" customHeight="1" x14ac:dyDescent="0.25">
      <c r="B14" s="16" t="s">
        <v>252</v>
      </c>
      <c r="E14" s="48">
        <v>0.5</v>
      </c>
      <c r="F14" s="16">
        <f t="shared" ref="F14:I14" si="5">E14+1</f>
        <v>1.5</v>
      </c>
      <c r="G14" s="16">
        <f t="shared" si="5"/>
        <v>2.5</v>
      </c>
      <c r="H14" s="16">
        <f t="shared" si="5"/>
        <v>3.5</v>
      </c>
      <c r="I14" s="16">
        <f t="shared" si="5"/>
        <v>4.5</v>
      </c>
    </row>
    <row r="15" spans="2:9" ht="15.75" customHeight="1" x14ac:dyDescent="0.25">
      <c r="B15" s="16" t="s">
        <v>253</v>
      </c>
      <c r="E15" s="36">
        <f t="shared" ref="E15:I15" si="6">1/(1+$C34)^E14</f>
        <v>0.97198461148570758</v>
      </c>
      <c r="F15" s="36">
        <f t="shared" si="6"/>
        <v>0.91828643222426243</v>
      </c>
      <c r="G15" s="36">
        <f t="shared" si="6"/>
        <v>0.86755485801182775</v>
      </c>
      <c r="H15" s="36">
        <f t="shared" si="6"/>
        <v>0.81962599603792419</v>
      </c>
      <c r="I15" s="36">
        <f t="shared" si="6"/>
        <v>0.77434500790035399</v>
      </c>
    </row>
    <row r="17" spans="2:9" ht="15.75" customHeight="1" x14ac:dyDescent="0.25">
      <c r="B17" s="16" t="s">
        <v>254</v>
      </c>
      <c r="E17" s="17">
        <f t="shared" ref="E17:I17" si="7">E15*E12</f>
        <v>-11940.564195645489</v>
      </c>
      <c r="F17" s="17">
        <f t="shared" si="7"/>
        <v>24350.574828043809</v>
      </c>
      <c r="G17" s="17">
        <f t="shared" si="7"/>
        <v>60939.394580001026</v>
      </c>
      <c r="H17" s="17">
        <f t="shared" si="7"/>
        <v>97901.703670932577</v>
      </c>
      <c r="I17" s="17">
        <f t="shared" si="7"/>
        <v>135375.74276312566</v>
      </c>
    </row>
    <row r="19" spans="2:9" ht="15.75" customHeight="1" x14ac:dyDescent="0.25">
      <c r="B19" s="16" t="s">
        <v>255</v>
      </c>
      <c r="I19" s="17">
        <f>I6*(1+C33)/(C34-C33)</f>
        <v>15448619.394235156</v>
      </c>
    </row>
    <row r="20" spans="2:9" ht="15.75" customHeight="1" x14ac:dyDescent="0.25">
      <c r="B20" s="16" t="s">
        <v>256</v>
      </c>
      <c r="I20" s="17">
        <f>I19*I15</f>
        <v>11962561.306878584</v>
      </c>
    </row>
    <row r="22" spans="2:9" ht="12.5" x14ac:dyDescent="0.25">
      <c r="B22" s="16" t="s">
        <v>257</v>
      </c>
      <c r="D22" s="17">
        <f>SUM(E17:I17,I20)</f>
        <v>12269188.15852504</v>
      </c>
    </row>
    <row r="23" spans="2:9" ht="12.5" x14ac:dyDescent="0.25">
      <c r="B23" s="16" t="s">
        <v>258</v>
      </c>
      <c r="D23" s="17">
        <f>Historicals!J23</f>
        <v>117451</v>
      </c>
    </row>
    <row r="24" spans="2:9" ht="12.5" x14ac:dyDescent="0.25">
      <c r="B24" s="16" t="s">
        <v>259</v>
      </c>
      <c r="D24" s="17">
        <f>-WACC!C34</f>
        <v>-707301</v>
      </c>
    </row>
    <row r="25" spans="2:9" ht="12.5" x14ac:dyDescent="0.25">
      <c r="B25" s="16" t="s">
        <v>260</v>
      </c>
      <c r="D25" s="17">
        <f>SUM(D22:D24)</f>
        <v>11679338.15852504</v>
      </c>
    </row>
    <row r="26" spans="2:9" ht="12.5" x14ac:dyDescent="0.25">
      <c r="B26" s="16" t="s">
        <v>18</v>
      </c>
      <c r="D26" s="17">
        <f>Historicals!J19</f>
        <v>518200.00000000006</v>
      </c>
    </row>
    <row r="27" spans="2:9" ht="13" x14ac:dyDescent="0.3">
      <c r="B27" s="11" t="s">
        <v>261</v>
      </c>
      <c r="C27" s="11"/>
      <c r="D27" s="20">
        <f>D25/D26</f>
        <v>22.538282822317715</v>
      </c>
    </row>
    <row r="29" spans="2:9" ht="12.5" x14ac:dyDescent="0.25">
      <c r="B29" s="16" t="s">
        <v>262</v>
      </c>
      <c r="D29" s="48">
        <v>5.18</v>
      </c>
    </row>
    <row r="30" spans="2:9" ht="12.5" x14ac:dyDescent="0.25">
      <c r="B30" s="16" t="s">
        <v>263</v>
      </c>
      <c r="D30" s="69">
        <f>D27/D29</f>
        <v>4.351019849868285</v>
      </c>
    </row>
    <row r="32" spans="2:9" ht="12.5" x14ac:dyDescent="0.25">
      <c r="B32" s="16" t="s">
        <v>264</v>
      </c>
      <c r="C32" s="15">
        <f>Growth!J48</f>
        <v>0.37753597465232719</v>
      </c>
    </row>
    <row r="33" spans="2:3" ht="12.5" x14ac:dyDescent="0.25">
      <c r="B33" s="16" t="s">
        <v>265</v>
      </c>
      <c r="C33" s="52">
        <v>0.02</v>
      </c>
    </row>
    <row r="34" spans="2:3" ht="12.5" x14ac:dyDescent="0.25">
      <c r="B34" s="16" t="s">
        <v>155</v>
      </c>
      <c r="C34" s="27">
        <f>WACC!J46</f>
        <v>5.8476502948408171E-2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Historicals</vt:lpstr>
      <vt:lpstr>WCC</vt:lpstr>
      <vt:lpstr>WACC</vt:lpstr>
      <vt:lpstr>Beta</vt:lpstr>
      <vt:lpstr>Market Return</vt:lpstr>
      <vt:lpstr>Growth</vt:lpstr>
      <vt:lpstr>PPE Schedule</vt:lpstr>
      <vt:lpstr>Intangible</vt:lpstr>
      <vt:lpstr>Financing</vt:lpstr>
      <vt:lpstr>Final Income Statement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</cp:lastModifiedBy>
  <dcterms:modified xsi:type="dcterms:W3CDTF">2025-11-24T02:13:27Z</dcterms:modified>
</cp:coreProperties>
</file>